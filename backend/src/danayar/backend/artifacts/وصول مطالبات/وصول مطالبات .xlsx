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امن افزار گستر شریف\طرح و برنامه\وصول مطالبات\"/>
    </mc:Choice>
  </mc:AlternateContent>
  <xr:revisionPtr revIDLastSave="0" documentId="13_ncr:1_{8173C780-C60B-40F4-91F1-73B41228E697}" xr6:coauthVersionLast="47" xr6:coauthVersionMax="47" xr10:uidLastSave="{00000000-0000-0000-0000-000000000000}"/>
  <bookViews>
    <workbookView xWindow="-120" yWindow="-120" windowWidth="20730" windowHeight="11160" xr2:uid="{69EAA66E-FEA6-43A7-B5E2-CC7938BA8936}"/>
  </bookViews>
  <sheets>
    <sheet name="مطالبات شرکت " sheetId="1" r:id="rId1"/>
    <sheet name="مطالبات به تفکیک  بتاها " sheetId="2" r:id="rId2"/>
    <sheet name="برنامه ریزی وصول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calcPr calcId="191029"/>
</workbook>
</file>

<file path=xl/calcChain.xml><?xml version="1.0" encoding="utf-8"?>
<calcChain xmlns="http://schemas.openxmlformats.org/spreadsheetml/2006/main">
  <c r="D17" i="2" l="1"/>
  <c r="D18" i="2"/>
  <c r="D19" i="2"/>
  <c r="C8" i="3"/>
  <c r="E8" i="3"/>
  <c r="E7" i="3"/>
  <c r="C7" i="3"/>
  <c r="E6" i="3"/>
  <c r="C6" i="3"/>
  <c r="D4" i="2"/>
  <c r="I3" i="3"/>
  <c r="H3" i="3"/>
  <c r="G3" i="3"/>
  <c r="F3" i="3"/>
  <c r="E3" i="3"/>
  <c r="D3" i="3"/>
  <c r="I2" i="3"/>
  <c r="H2" i="3"/>
  <c r="G2" i="3"/>
  <c r="F2" i="3"/>
  <c r="E2" i="3"/>
  <c r="D2" i="3"/>
  <c r="I27" i="2"/>
  <c r="H20" i="1" s="1"/>
  <c r="H27" i="2"/>
  <c r="G20" i="1" s="1"/>
  <c r="G27" i="2"/>
  <c r="F20" i="1" s="1"/>
  <c r="F27" i="2"/>
  <c r="E20" i="1" s="1"/>
  <c r="E27" i="2"/>
  <c r="D20" i="1" s="1"/>
  <c r="D27" i="2"/>
  <c r="C20" i="1" s="1"/>
  <c r="I20" i="2"/>
  <c r="H20" i="2"/>
  <c r="G20" i="2"/>
  <c r="F20" i="2"/>
  <c r="E20" i="2"/>
  <c r="D20" i="2"/>
  <c r="I18" i="2"/>
  <c r="H18" i="2"/>
  <c r="G18" i="2"/>
  <c r="F18" i="2"/>
  <c r="E18" i="2"/>
  <c r="I16" i="2"/>
  <c r="H16" i="2"/>
  <c r="G16" i="2"/>
  <c r="F16" i="2"/>
  <c r="E16" i="2"/>
  <c r="D16" i="2"/>
  <c r="I11" i="2"/>
  <c r="H11" i="2"/>
  <c r="G11" i="2"/>
  <c r="F11" i="2"/>
  <c r="E11" i="2"/>
  <c r="D11" i="2"/>
  <c r="I9" i="2"/>
  <c r="H9" i="2"/>
  <c r="G9" i="2"/>
  <c r="F9" i="2"/>
  <c r="E9" i="2"/>
  <c r="D9" i="2"/>
  <c r="I5" i="2"/>
  <c r="H5" i="2"/>
  <c r="G5" i="2"/>
  <c r="G4" i="2"/>
  <c r="F5" i="2"/>
  <c r="E5" i="2"/>
  <c r="D5" i="2"/>
  <c r="I26" i="2"/>
  <c r="H26" i="2"/>
  <c r="G26" i="2"/>
  <c r="F26" i="2"/>
  <c r="E26" i="2"/>
  <c r="D26" i="2"/>
  <c r="I24" i="2"/>
  <c r="H24" i="2"/>
  <c r="G24" i="2"/>
  <c r="F24" i="2"/>
  <c r="E24" i="2"/>
  <c r="D24" i="2"/>
  <c r="I19" i="2"/>
  <c r="H19" i="2"/>
  <c r="G19" i="2"/>
  <c r="F19" i="2"/>
  <c r="E19" i="2"/>
  <c r="I17" i="2"/>
  <c r="H17" i="2"/>
  <c r="G17" i="2"/>
  <c r="F17" i="2"/>
  <c r="E17" i="2"/>
  <c r="I15" i="2"/>
  <c r="H15" i="2"/>
  <c r="G15" i="2"/>
  <c r="F15" i="2"/>
  <c r="E15" i="2"/>
  <c r="D15" i="2"/>
  <c r="I10" i="2"/>
  <c r="H10" i="2"/>
  <c r="G10" i="2"/>
  <c r="F10" i="2"/>
  <c r="E10" i="2"/>
  <c r="D10" i="2"/>
  <c r="I8" i="2"/>
  <c r="H8" i="2"/>
  <c r="G8" i="2"/>
  <c r="F8" i="2"/>
  <c r="E8" i="2"/>
  <c r="D8" i="2"/>
  <c r="I6" i="2"/>
  <c r="J6" i="2" s="1"/>
  <c r="H6" i="2"/>
  <c r="G6" i="2"/>
  <c r="F6" i="2"/>
  <c r="E6" i="2"/>
  <c r="D6" i="2"/>
  <c r="I4" i="2"/>
  <c r="H4" i="2"/>
  <c r="F4" i="2"/>
  <c r="E4" i="2"/>
  <c r="N12" i="1"/>
  <c r="I25" i="1"/>
  <c r="J25" i="1" s="1"/>
  <c r="I26" i="1"/>
  <c r="J26" i="1" s="1"/>
  <c r="I32" i="2"/>
  <c r="J32" i="2" s="1"/>
  <c r="H32" i="2"/>
  <c r="G32" i="2"/>
  <c r="F32" i="2"/>
  <c r="E32" i="2"/>
  <c r="D32" i="2"/>
  <c r="I31" i="2"/>
  <c r="J31" i="2" s="1"/>
  <c r="H31" i="2"/>
  <c r="G31" i="2"/>
  <c r="F31" i="2"/>
  <c r="E31" i="2"/>
  <c r="D31" i="2"/>
  <c r="M12" i="1"/>
  <c r="K12" i="1"/>
  <c r="M11" i="1"/>
  <c r="J10" i="1"/>
  <c r="H26" i="1"/>
  <c r="G26" i="1"/>
  <c r="F26" i="1"/>
  <c r="E26" i="1"/>
  <c r="D26" i="1"/>
  <c r="H25" i="1"/>
  <c r="G25" i="1"/>
  <c r="F25" i="1"/>
  <c r="E25" i="1"/>
  <c r="D25" i="1"/>
  <c r="L12" i="1"/>
  <c r="J12" i="1"/>
  <c r="I11" i="1"/>
  <c r="K11" i="1"/>
  <c r="K10" i="1"/>
  <c r="I10" i="1"/>
  <c r="I13" i="1"/>
  <c r="I4" i="1"/>
  <c r="N10" i="1"/>
  <c r="M10" i="1"/>
  <c r="M13" i="1"/>
  <c r="M4" i="1"/>
  <c r="K13" i="1"/>
  <c r="K4" i="1"/>
  <c r="L11" i="1"/>
  <c r="L10" i="1"/>
  <c r="J11" i="1"/>
  <c r="J13" i="1"/>
  <c r="J4" i="1"/>
  <c r="I12" i="1"/>
  <c r="N11" i="1"/>
  <c r="N13" i="1"/>
  <c r="N4" i="1"/>
  <c r="L13" i="1"/>
  <c r="L4" i="1"/>
  <c r="J15" i="2" l="1"/>
  <c r="F27" i="1"/>
  <c r="D33" i="2"/>
  <c r="J4" i="2"/>
  <c r="H11" i="1"/>
  <c r="G11" i="1"/>
  <c r="H33" i="2"/>
  <c r="E12" i="1"/>
  <c r="H18" i="1"/>
  <c r="H27" i="1"/>
  <c r="J10" i="2"/>
  <c r="E27" i="1"/>
  <c r="H12" i="1"/>
  <c r="I33" i="2"/>
  <c r="E19" i="1"/>
  <c r="C12" i="1"/>
  <c r="C18" i="1"/>
  <c r="C10" i="3"/>
  <c r="G6" i="3"/>
  <c r="G11" i="3" s="1"/>
  <c r="G8" i="3"/>
  <c r="J27" i="1"/>
  <c r="J8" i="2"/>
  <c r="E33" i="2"/>
  <c r="G10" i="1"/>
  <c r="E11" i="1"/>
  <c r="J2" i="3"/>
  <c r="F11" i="1"/>
  <c r="F18" i="1"/>
  <c r="D19" i="1"/>
  <c r="E10" i="3"/>
  <c r="D11" i="1"/>
  <c r="F12" i="1"/>
  <c r="J26" i="2"/>
  <c r="F19" i="1"/>
  <c r="G7" i="3"/>
  <c r="G19" i="1"/>
  <c r="G12" i="1"/>
  <c r="D27" i="1"/>
  <c r="D18" i="1"/>
  <c r="H19" i="1"/>
  <c r="J33" i="2"/>
  <c r="E10" i="1"/>
  <c r="F10" i="1"/>
  <c r="C11" i="1"/>
  <c r="D12" i="1"/>
  <c r="D10" i="1"/>
  <c r="E18" i="1"/>
  <c r="E21" i="1" s="1"/>
  <c r="C10" i="1"/>
  <c r="I27" i="1"/>
  <c r="J19" i="2"/>
  <c r="J24" i="2"/>
  <c r="G18" i="1"/>
  <c r="C19" i="1"/>
  <c r="F33" i="2"/>
  <c r="G27" i="1"/>
  <c r="G33" i="2"/>
  <c r="H10" i="1"/>
  <c r="J17" i="2"/>
  <c r="C21" i="1" l="1"/>
  <c r="J12" i="2"/>
  <c r="J28" i="2"/>
  <c r="F13" i="1"/>
  <c r="E13" i="1"/>
  <c r="E4" i="1" s="1"/>
  <c r="H21" i="1"/>
  <c r="H13" i="1"/>
  <c r="F21" i="1"/>
  <c r="F4" i="1" s="1"/>
  <c r="G13" i="1"/>
  <c r="C13" i="1"/>
  <c r="D21" i="1"/>
  <c r="G21" i="1"/>
  <c r="D13" i="1"/>
  <c r="J21" i="2"/>
  <c r="H4" i="1" l="1"/>
  <c r="C4" i="1"/>
  <c r="D4" i="1"/>
  <c r="G4" i="1"/>
</calcChain>
</file>

<file path=xl/sharedStrings.xml><?xml version="1.0" encoding="utf-8"?>
<sst xmlns="http://schemas.openxmlformats.org/spreadsheetml/2006/main" count="147" uniqueCount="44">
  <si>
    <t>جمع فاكتور</t>
  </si>
  <si>
    <t>مبلغ مرجوعي</t>
  </si>
  <si>
    <t>کسورات قانوني</t>
  </si>
  <si>
    <t>مبلغ پرداختي</t>
  </si>
  <si>
    <t>مبلغ دريافتي</t>
  </si>
  <si>
    <t>مانده</t>
  </si>
  <si>
    <t>بتا</t>
  </si>
  <si>
    <t xml:space="preserve">راهبر فروش / همدل فروش / همیار فروش </t>
  </si>
  <si>
    <t xml:space="preserve">سال </t>
  </si>
  <si>
    <t>1402</t>
  </si>
  <si>
    <t>1403</t>
  </si>
  <si>
    <t xml:space="preserve">تولید </t>
  </si>
  <si>
    <t xml:space="preserve">اشرفی </t>
  </si>
  <si>
    <t xml:space="preserve">دادمهر </t>
  </si>
  <si>
    <t>برادران</t>
  </si>
  <si>
    <t>آذرنیا</t>
  </si>
  <si>
    <t xml:space="preserve">خدمت </t>
  </si>
  <si>
    <t xml:space="preserve">وکیلی </t>
  </si>
  <si>
    <t>مهدوی</t>
  </si>
  <si>
    <t>مبارکی</t>
  </si>
  <si>
    <t>مشهد</t>
  </si>
  <si>
    <t xml:space="preserve">بازرگانی </t>
  </si>
  <si>
    <t>نوروزی</t>
  </si>
  <si>
    <t xml:space="preserve">احمدیان </t>
  </si>
  <si>
    <t>دادمهر</t>
  </si>
  <si>
    <t xml:space="preserve">جمع </t>
  </si>
  <si>
    <t>جمع مانده 402 و403</t>
  </si>
  <si>
    <t xml:space="preserve">آخرین وضعیت مطالبات شرکت امن افزار گستر شریف به تفکیک بتا ها و همدل ها </t>
  </si>
  <si>
    <t xml:space="preserve">بتا ها </t>
  </si>
  <si>
    <t xml:space="preserve">مشهد </t>
  </si>
  <si>
    <t xml:space="preserve">جمع فاکتور </t>
  </si>
  <si>
    <t xml:space="preserve">مبلغ مرجوعی </t>
  </si>
  <si>
    <t xml:space="preserve">کسورات قانونی </t>
  </si>
  <si>
    <t xml:space="preserve">مبلغ پرداختی </t>
  </si>
  <si>
    <t xml:space="preserve">مبلغ دریافتی </t>
  </si>
  <si>
    <t xml:space="preserve">مانده </t>
  </si>
  <si>
    <t>وضعیت مطالبات شرکت در سال 1402</t>
  </si>
  <si>
    <t>وضعیت مطالبات شرکت در سال 1403</t>
  </si>
  <si>
    <t>وضعیت مطالبات شرکت امن افزار گستر شریف طی سال 1402 و 1403</t>
  </si>
  <si>
    <t xml:space="preserve"> </t>
  </si>
  <si>
    <t>مفاصا حساب</t>
  </si>
  <si>
    <t>پیش بینی وصولی ماه آینده</t>
  </si>
  <si>
    <t>عدم پرداخت توسط نامدار</t>
  </si>
  <si>
    <t xml:space="preserve">آخرین وضعیت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</si>
</sst>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B Mitra"/>
      <charset val="178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sz val="16"/>
      <color theme="1"/>
      <name val="B Mitra"/>
      <charset val="178"/>
    </font>
    <font>
      <b/>
      <sz val="14"/>
      <color theme="1"/>
      <name val="B Mitra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/>
    <xf numFmtId="0" fontId="1" fillId="0" borderId="2" xfId="0" applyFont="1" applyBorder="1"/>
    <xf numFmtId="3" fontId="1" fillId="0" borderId="2" xfId="0" applyNumberFormat="1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3" fontId="1" fillId="3" borderId="1" xfId="0" applyNumberFormat="1" applyFont="1" applyFill="1" applyBorder="1"/>
    <xf numFmtId="3" fontId="1" fillId="3" borderId="1" xfId="0" applyNumberFormat="1" applyFont="1" applyFill="1" applyBorder="1" applyAlignment="1">
      <alignment horizontal="center"/>
    </xf>
    <xf numFmtId="0" fontId="3" fillId="0" borderId="0" xfId="0" applyFont="1"/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" fillId="3" borderId="3" xfId="0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1" fillId="0" borderId="4" xfId="0" applyNumberFormat="1" applyFont="1" applyBorder="1"/>
    <xf numFmtId="3" fontId="1" fillId="0" borderId="5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6;&#1575;&#1586;&#1585;&#1711;&#1575;&#1606;&#1740;/1402/sale_hasab_noroz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6;&#1575;&#1586;&#1585;&#1711;&#1575;&#1606;&#1740;/1403/sale_hasab_noroz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8;&#1608;&#1604;&#1740;&#1583;/1402/sale_hasab_ashraf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8;&#1608;&#1604;&#1740;&#1583;/1403/sale_hasab_ashraf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8;&#1608;&#1604;&#1740;&#1583;/1402/sale_hasab_dadmehr9%20ma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8;&#1608;&#1604;&#1740;&#1583;/1402/sale_hasab_baradar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8;&#1608;&#1604;&#1740;&#1583;/1403/sale_hasab_baradar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8;&#1608;&#1604;&#1740;&#1583;/1402/sale_hasab_azarniy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1578;&#1608;&#1604;&#1740;&#1583;/1403/sale_hasab_azarniy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1582;&#1583;&#1605;&#1578;/1402/sale_hasab_vakil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1582;&#1583;&#1605;&#1578;/1403/sale_hasab_vakil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1582;&#1583;&#1605;&#1578;/1402/sale_hasab_mahdavi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&#1575;&#1605;&#1606;%20&#1575;&#1601;&#1586;&#1575;&#1585;%20&#1711;&#1587;&#1578;&#1585;%20&#1588;&#1585;&#1740;&#1601;\&#1591;&#1585;&#1581;%20&#1608;%20&#1576;&#1585;&#1606;&#1575;&#1605;&#1607;\&#1608;&#1589;&#1608;&#1604;%20&#1605;&#1591;&#1575;&#1604;&#1576;&#1575;&#1578;\&#1582;&#1583;&#1605;&#1578;\1403\sale_hasab_mahdavi.xls" TargetMode="External"/><Relationship Id="rId1" Type="http://schemas.openxmlformats.org/officeDocument/2006/relationships/externalLinkPath" Target="&#1582;&#1583;&#1605;&#1578;/1403/sale_hasab_mahdav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&#1582;&#1583;&#1605;&#1578;/1402/sale_hasab_mobaraki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1582;&#1583;&#1605;&#1578;/1403/sale_hasab_mobaraki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588;&#1607;&#1583;/1402/sale_hasab_ahmadiya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588;&#1607;&#1583;/1402/sale_hasab_dadmehr3%20ma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&#1605;&#1588;&#1607;&#1583;/1403/sale_hasab_dadmeh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54">
          <cell r="D54">
            <v>3349932214235</v>
          </cell>
          <cell r="E54">
            <v>0</v>
          </cell>
          <cell r="F54">
            <v>944136000</v>
          </cell>
          <cell r="G54">
            <v>0</v>
          </cell>
          <cell r="H54">
            <v>409149359631</v>
          </cell>
          <cell r="I54">
            <v>2939838718604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5">
          <cell r="D25">
            <v>2660379770745</v>
          </cell>
          <cell r="E25">
            <v>0</v>
          </cell>
          <cell r="F25">
            <v>40560000</v>
          </cell>
          <cell r="G25">
            <v>0</v>
          </cell>
          <cell r="H25">
            <v>151009286163</v>
          </cell>
          <cell r="I25">
            <v>2509329924582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1526000000</v>
          </cell>
          <cell r="H2">
            <v>1526000000</v>
          </cell>
        </row>
        <row r="3">
          <cell r="D3">
            <v>545000000</v>
          </cell>
          <cell r="H3">
            <v>349568450</v>
          </cell>
          <cell r="I3">
            <v>195431550</v>
          </cell>
        </row>
        <row r="4">
          <cell r="D4">
            <v>1253500000</v>
          </cell>
          <cell r="I4">
            <v>1253500000</v>
          </cell>
        </row>
        <row r="5">
          <cell r="D5">
            <v>2932089100</v>
          </cell>
          <cell r="H5">
            <v>2932089100</v>
          </cell>
        </row>
        <row r="6">
          <cell r="D6">
            <v>5488150000</v>
          </cell>
          <cell r="F6">
            <v>755250000</v>
          </cell>
          <cell r="H6">
            <v>4732900000</v>
          </cell>
        </row>
        <row r="7">
          <cell r="D7">
            <v>817500000</v>
          </cell>
          <cell r="H7">
            <v>817500000</v>
          </cell>
        </row>
        <row r="8">
          <cell r="D8">
            <v>160785900</v>
          </cell>
          <cell r="H8">
            <v>147510000</v>
          </cell>
          <cell r="I8">
            <v>13275900</v>
          </cell>
        </row>
        <row r="9">
          <cell r="D9">
            <v>4360000000</v>
          </cell>
          <cell r="H9">
            <v>4360000000</v>
          </cell>
        </row>
        <row r="10">
          <cell r="D10">
            <v>304031520</v>
          </cell>
          <cell r="H10">
            <v>278928000</v>
          </cell>
          <cell r="I10">
            <v>25103520</v>
          </cell>
        </row>
        <row r="11">
          <cell r="D11">
            <v>18802500</v>
          </cell>
          <cell r="H11">
            <v>17250000</v>
          </cell>
          <cell r="I11">
            <v>1552500</v>
          </cell>
        </row>
        <row r="12">
          <cell r="D12">
            <v>37605000</v>
          </cell>
          <cell r="I12">
            <v>37605000</v>
          </cell>
        </row>
        <row r="13">
          <cell r="D13">
            <v>21309500</v>
          </cell>
          <cell r="I13">
            <v>21309500</v>
          </cell>
        </row>
        <row r="14">
          <cell r="D14">
            <v>7820750000</v>
          </cell>
          <cell r="I14">
            <v>7820750000</v>
          </cell>
        </row>
        <row r="15">
          <cell r="D15">
            <v>7479580000</v>
          </cell>
          <cell r="I15">
            <v>7479580000</v>
          </cell>
        </row>
        <row r="16">
          <cell r="D16">
            <v>6213000000</v>
          </cell>
          <cell r="F16">
            <v>443460000</v>
          </cell>
          <cell r="H16">
            <v>5769540000</v>
          </cell>
        </row>
        <row r="17">
          <cell r="D17">
            <v>18802500</v>
          </cell>
          <cell r="H17">
            <v>17250000</v>
          </cell>
          <cell r="I17">
            <v>1552500</v>
          </cell>
        </row>
        <row r="18">
          <cell r="D18">
            <v>2507000000</v>
          </cell>
          <cell r="H18">
            <v>2507000000</v>
          </cell>
        </row>
        <row r="19">
          <cell r="D19">
            <v>4447200000</v>
          </cell>
          <cell r="H19">
            <v>3607830000</v>
          </cell>
          <cell r="I19">
            <v>839370000</v>
          </cell>
        </row>
        <row r="20">
          <cell r="D20">
            <v>3891300000</v>
          </cell>
          <cell r="H20">
            <v>3502170000</v>
          </cell>
          <cell r="I20">
            <v>389130000</v>
          </cell>
        </row>
        <row r="21">
          <cell r="D21">
            <v>1471500000</v>
          </cell>
          <cell r="I21">
            <v>1471500000</v>
          </cell>
        </row>
        <row r="22">
          <cell r="D22">
            <v>7744035800</v>
          </cell>
          <cell r="H22">
            <v>7104620000</v>
          </cell>
          <cell r="I22">
            <v>639415800</v>
          </cell>
        </row>
        <row r="23">
          <cell r="D23">
            <v>806600000</v>
          </cell>
          <cell r="I23">
            <v>806600000</v>
          </cell>
        </row>
        <row r="24">
          <cell r="D24">
            <v>555900000</v>
          </cell>
          <cell r="I24">
            <v>555900000</v>
          </cell>
        </row>
        <row r="25">
          <cell r="D25">
            <v>12753000000</v>
          </cell>
          <cell r="H25">
            <v>529374999</v>
          </cell>
          <cell r="I25">
            <v>12223625001</v>
          </cell>
        </row>
        <row r="26">
          <cell r="D26">
            <v>14111140000</v>
          </cell>
          <cell r="H26">
            <v>609125000</v>
          </cell>
          <cell r="I26">
            <v>13502015000</v>
          </cell>
        </row>
        <row r="27">
          <cell r="D27">
            <v>4360000000</v>
          </cell>
          <cell r="H27">
            <v>6711</v>
          </cell>
          <cell r="I27">
            <v>4359993289</v>
          </cell>
        </row>
        <row r="28">
          <cell r="D28">
            <v>6698507800</v>
          </cell>
          <cell r="H28">
            <v>6145420000</v>
          </cell>
          <cell r="I28">
            <v>553087800</v>
          </cell>
        </row>
        <row r="29">
          <cell r="D29">
            <v>18802500</v>
          </cell>
          <cell r="H29">
            <v>17250000</v>
          </cell>
          <cell r="I29">
            <v>1552500</v>
          </cell>
        </row>
        <row r="30">
          <cell r="D30">
            <v>15042000</v>
          </cell>
          <cell r="I30">
            <v>15042000</v>
          </cell>
        </row>
        <row r="31">
          <cell r="D31">
            <v>13074550000</v>
          </cell>
          <cell r="H31">
            <v>10967329749</v>
          </cell>
          <cell r="I31">
            <v>2107220251</v>
          </cell>
        </row>
        <row r="32">
          <cell r="D32">
            <v>50140000</v>
          </cell>
          <cell r="H32">
            <v>43240000</v>
          </cell>
          <cell r="I32">
            <v>6900000</v>
          </cell>
        </row>
        <row r="33">
          <cell r="D33">
            <v>2888500000</v>
          </cell>
          <cell r="H33">
            <v>2888500000</v>
          </cell>
        </row>
        <row r="34">
          <cell r="D34">
            <v>4062430000</v>
          </cell>
          <cell r="H34">
            <v>4062430000</v>
          </cell>
        </row>
        <row r="35">
          <cell r="D35">
            <v>2888500000</v>
          </cell>
          <cell r="H35">
            <v>2888500000</v>
          </cell>
        </row>
        <row r="36">
          <cell r="D36">
            <v>5447820000</v>
          </cell>
          <cell r="I36">
            <v>5447820000</v>
          </cell>
        </row>
        <row r="37">
          <cell r="D37">
            <v>50140000</v>
          </cell>
          <cell r="I37">
            <v>50140000</v>
          </cell>
        </row>
        <row r="38">
          <cell r="D38">
            <v>4142000000</v>
          </cell>
          <cell r="H38">
            <v>3572000000</v>
          </cell>
          <cell r="I38">
            <v>570000000</v>
          </cell>
        </row>
        <row r="39">
          <cell r="D39">
            <v>3215500000</v>
          </cell>
          <cell r="H39">
            <v>3215500000</v>
          </cell>
        </row>
        <row r="40">
          <cell r="D40">
            <v>7822450400</v>
          </cell>
          <cell r="I40">
            <v>7822450400</v>
          </cell>
        </row>
        <row r="41">
          <cell r="D41">
            <v>5009029600</v>
          </cell>
          <cell r="I41">
            <v>5009029600</v>
          </cell>
        </row>
        <row r="42">
          <cell r="D42">
            <v>4500522800</v>
          </cell>
          <cell r="I42">
            <v>4500522800</v>
          </cell>
        </row>
        <row r="43">
          <cell r="D43">
            <v>291466000</v>
          </cell>
          <cell r="H43">
            <v>291466000</v>
          </cell>
        </row>
        <row r="44">
          <cell r="D44">
            <v>17525020000</v>
          </cell>
          <cell r="H44">
            <v>17525020000</v>
          </cell>
        </row>
        <row r="45">
          <cell r="D45">
            <v>419650000</v>
          </cell>
          <cell r="I45">
            <v>419650000</v>
          </cell>
        </row>
        <row r="46">
          <cell r="D46">
            <v>12535000</v>
          </cell>
          <cell r="I46">
            <v>12535000</v>
          </cell>
        </row>
        <row r="47">
          <cell r="D47">
            <v>12535000</v>
          </cell>
          <cell r="I47">
            <v>12535000</v>
          </cell>
        </row>
        <row r="48">
          <cell r="D48">
            <v>37605000</v>
          </cell>
          <cell r="I48">
            <v>37605000</v>
          </cell>
        </row>
        <row r="49">
          <cell r="D49">
            <v>808720050</v>
          </cell>
          <cell r="H49">
            <v>808720050</v>
          </cell>
        </row>
        <row r="50">
          <cell r="D50">
            <v>57508400000</v>
          </cell>
          <cell r="H50">
            <v>57508400000</v>
          </cell>
        </row>
        <row r="51">
          <cell r="D51">
            <v>5951721550</v>
          </cell>
          <cell r="I51">
            <v>5951721550</v>
          </cell>
        </row>
        <row r="52">
          <cell r="D52">
            <v>2452500000</v>
          </cell>
          <cell r="I52">
            <v>2452500000</v>
          </cell>
        </row>
        <row r="53">
          <cell r="D53">
            <v>1035500000</v>
          </cell>
          <cell r="H53">
            <v>1035500000</v>
          </cell>
        </row>
        <row r="54">
          <cell r="D54">
            <v>8720000000</v>
          </cell>
          <cell r="H54">
            <v>7520000000</v>
          </cell>
          <cell r="I54">
            <v>1200000000</v>
          </cell>
        </row>
        <row r="55">
          <cell r="D55">
            <v>763000000</v>
          </cell>
          <cell r="H55">
            <v>763000000</v>
          </cell>
        </row>
        <row r="56">
          <cell r="D56">
            <v>1471500000</v>
          </cell>
          <cell r="I56">
            <v>1471500000</v>
          </cell>
        </row>
        <row r="57">
          <cell r="D57">
            <v>3270000000</v>
          </cell>
          <cell r="I57">
            <v>3270000000</v>
          </cell>
        </row>
        <row r="58">
          <cell r="D58">
            <v>4234388400</v>
          </cell>
          <cell r="I58">
            <v>4234388400</v>
          </cell>
        </row>
        <row r="59">
          <cell r="D59">
            <v>5840699600</v>
          </cell>
          <cell r="I59">
            <v>5840699600</v>
          </cell>
        </row>
        <row r="60">
          <cell r="D60">
            <v>3599943000</v>
          </cell>
          <cell r="I60">
            <v>3599943000</v>
          </cell>
        </row>
        <row r="61">
          <cell r="D61">
            <v>3329056200</v>
          </cell>
          <cell r="I61">
            <v>3329056200</v>
          </cell>
        </row>
        <row r="62">
          <cell r="D62">
            <v>200560000</v>
          </cell>
          <cell r="I62">
            <v>200560000</v>
          </cell>
        </row>
        <row r="63">
          <cell r="D63">
            <v>537370000</v>
          </cell>
          <cell r="I63">
            <v>537370000</v>
          </cell>
        </row>
        <row r="64">
          <cell r="D64">
            <v>6867000000</v>
          </cell>
          <cell r="I64">
            <v>6867000000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37950000</v>
          </cell>
          <cell r="I2">
            <v>37950000</v>
          </cell>
        </row>
        <row r="3">
          <cell r="D3">
            <v>5423000000</v>
          </cell>
          <cell r="I3">
            <v>5423000000</v>
          </cell>
        </row>
        <row r="4">
          <cell r="D4">
            <v>1870000000</v>
          </cell>
          <cell r="I4">
            <v>1870000000</v>
          </cell>
        </row>
        <row r="5">
          <cell r="D5">
            <v>434280000</v>
          </cell>
          <cell r="H5">
            <v>434280000</v>
          </cell>
        </row>
        <row r="6">
          <cell r="D6">
            <v>12385715100</v>
          </cell>
          <cell r="H6">
            <v>12385715100</v>
          </cell>
        </row>
        <row r="7">
          <cell r="D7">
            <v>1375000000</v>
          </cell>
          <cell r="H7">
            <v>1375000000</v>
          </cell>
        </row>
        <row r="8">
          <cell r="D8">
            <v>13657600000</v>
          </cell>
          <cell r="H8">
            <v>12416000000</v>
          </cell>
          <cell r="I8">
            <v>1241600000</v>
          </cell>
        </row>
        <row r="9">
          <cell r="D9">
            <v>8250000000</v>
          </cell>
          <cell r="H9">
            <v>8250000000</v>
          </cell>
        </row>
        <row r="10">
          <cell r="D10">
            <v>3478640000</v>
          </cell>
          <cell r="I10">
            <v>3478640000</v>
          </cell>
        </row>
        <row r="11">
          <cell r="D11">
            <v>4056250000</v>
          </cell>
          <cell r="I11">
            <v>4056250000</v>
          </cell>
        </row>
        <row r="12">
          <cell r="D12">
            <v>2271500000</v>
          </cell>
          <cell r="I12">
            <v>2271500000</v>
          </cell>
        </row>
        <row r="13">
          <cell r="D13">
            <v>1921040000</v>
          </cell>
          <cell r="I13">
            <v>1921040000</v>
          </cell>
        </row>
        <row r="14">
          <cell r="D14">
            <v>1966470000</v>
          </cell>
          <cell r="I14">
            <v>1966470000</v>
          </cell>
        </row>
        <row r="15">
          <cell r="D15">
            <v>1233100000</v>
          </cell>
          <cell r="I15">
            <v>1233100000</v>
          </cell>
        </row>
        <row r="16">
          <cell r="D16">
            <v>739860000</v>
          </cell>
          <cell r="I16">
            <v>739860000</v>
          </cell>
        </row>
        <row r="17">
          <cell r="D17">
            <v>25300000</v>
          </cell>
          <cell r="I17">
            <v>25300000</v>
          </cell>
        </row>
        <row r="18">
          <cell r="D18">
            <v>2030072000</v>
          </cell>
          <cell r="I18">
            <v>2030072000</v>
          </cell>
        </row>
        <row r="19">
          <cell r="D19">
            <v>3403400000</v>
          </cell>
          <cell r="H19">
            <v>3403400000</v>
          </cell>
        </row>
        <row r="20">
          <cell r="D20">
            <v>2904000000</v>
          </cell>
          <cell r="I20">
            <v>2904000000</v>
          </cell>
        </row>
        <row r="21">
          <cell r="D21">
            <v>2367552000</v>
          </cell>
          <cell r="H21">
            <v>2367552000</v>
          </cell>
        </row>
        <row r="22">
          <cell r="D22">
            <v>1977119100</v>
          </cell>
          <cell r="I22">
            <v>1977119100</v>
          </cell>
        </row>
        <row r="23">
          <cell r="D23">
            <v>9680000000</v>
          </cell>
          <cell r="H23">
            <v>6899200000</v>
          </cell>
          <cell r="I23">
            <v>2780800000</v>
          </cell>
        </row>
        <row r="24">
          <cell r="D24">
            <v>739200000</v>
          </cell>
          <cell r="I24">
            <v>739200000</v>
          </cell>
        </row>
        <row r="25">
          <cell r="D25">
            <v>3860800000</v>
          </cell>
          <cell r="I25">
            <v>3860800000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272500000</v>
          </cell>
          <cell r="I2">
            <v>272500000</v>
          </cell>
        </row>
        <row r="3">
          <cell r="D3">
            <v>141700000</v>
          </cell>
          <cell r="H3">
            <v>42400000</v>
          </cell>
          <cell r="I3">
            <v>99300000</v>
          </cell>
        </row>
        <row r="4">
          <cell r="D4">
            <v>2178910000</v>
          </cell>
          <cell r="I4">
            <v>2178910000</v>
          </cell>
        </row>
        <row r="5">
          <cell r="D5">
            <v>163500000</v>
          </cell>
          <cell r="H5">
            <v>163500000</v>
          </cell>
        </row>
        <row r="6">
          <cell r="D6">
            <v>163500000</v>
          </cell>
          <cell r="H6">
            <v>163500000</v>
          </cell>
        </row>
        <row r="7">
          <cell r="D7">
            <v>109000000</v>
          </cell>
          <cell r="H7">
            <v>109000000</v>
          </cell>
        </row>
        <row r="8">
          <cell r="D8">
            <v>218000000</v>
          </cell>
          <cell r="H8">
            <v>218000000</v>
          </cell>
        </row>
        <row r="9">
          <cell r="D9">
            <v>239800000</v>
          </cell>
          <cell r="H9">
            <v>239800000</v>
          </cell>
        </row>
        <row r="10">
          <cell r="D10">
            <v>310650000</v>
          </cell>
          <cell r="H10">
            <v>310650000</v>
          </cell>
        </row>
        <row r="11">
          <cell r="D11">
            <v>22890000000</v>
          </cell>
          <cell r="H11">
            <v>22890000000</v>
          </cell>
        </row>
        <row r="12">
          <cell r="D12">
            <v>9973500000</v>
          </cell>
          <cell r="H12">
            <v>9973500000</v>
          </cell>
        </row>
        <row r="13">
          <cell r="D13">
            <v>1700400000</v>
          </cell>
          <cell r="H13">
            <v>1700400000</v>
          </cell>
        </row>
        <row r="14">
          <cell r="D14">
            <v>245250000</v>
          </cell>
          <cell r="F14">
            <v>33750000</v>
          </cell>
          <cell r="H14">
            <v>211500000</v>
          </cell>
        </row>
        <row r="15">
          <cell r="D15">
            <v>163500000</v>
          </cell>
          <cell r="H15">
            <v>138975000</v>
          </cell>
          <cell r="I15">
            <v>24525000</v>
          </cell>
        </row>
        <row r="16">
          <cell r="D16">
            <v>165680000</v>
          </cell>
          <cell r="I16">
            <v>165680000</v>
          </cell>
        </row>
        <row r="17">
          <cell r="D17">
            <v>239800000</v>
          </cell>
          <cell r="H17">
            <v>239800000</v>
          </cell>
        </row>
        <row r="18">
          <cell r="D18">
            <v>2289000000</v>
          </cell>
          <cell r="H18">
            <v>2289000000</v>
          </cell>
        </row>
        <row r="19">
          <cell r="D19">
            <v>850200000</v>
          </cell>
          <cell r="F19">
            <v>117000000</v>
          </cell>
          <cell r="H19">
            <v>733200000</v>
          </cell>
        </row>
        <row r="20">
          <cell r="D20">
            <v>218000000</v>
          </cell>
          <cell r="H20">
            <v>218000000</v>
          </cell>
        </row>
        <row r="21">
          <cell r="D21">
            <v>111180000</v>
          </cell>
          <cell r="H21">
            <v>105621000</v>
          </cell>
          <cell r="I21">
            <v>5559000</v>
          </cell>
        </row>
        <row r="22">
          <cell r="D22">
            <v>70850000</v>
          </cell>
          <cell r="H22">
            <v>70850000</v>
          </cell>
        </row>
        <row r="23">
          <cell r="D23">
            <v>21800000</v>
          </cell>
          <cell r="H23">
            <v>21800000</v>
          </cell>
        </row>
        <row r="24">
          <cell r="D24">
            <v>2479750000</v>
          </cell>
          <cell r="H24">
            <v>2479750000</v>
          </cell>
        </row>
        <row r="25">
          <cell r="D25">
            <v>81750000</v>
          </cell>
          <cell r="H25">
            <v>81750000</v>
          </cell>
        </row>
        <row r="26">
          <cell r="D26">
            <v>198380000</v>
          </cell>
          <cell r="F26">
            <v>27300000</v>
          </cell>
          <cell r="H26">
            <v>171080000</v>
          </cell>
        </row>
        <row r="27">
          <cell r="D27">
            <v>501400000</v>
          </cell>
          <cell r="H27">
            <v>501400000</v>
          </cell>
        </row>
        <row r="28">
          <cell r="D28">
            <v>70850000</v>
          </cell>
          <cell r="H28">
            <v>70850000</v>
          </cell>
        </row>
        <row r="29">
          <cell r="D29">
            <v>305200000</v>
          </cell>
          <cell r="H29">
            <v>305200000</v>
          </cell>
        </row>
        <row r="30">
          <cell r="D30">
            <v>2016500000</v>
          </cell>
          <cell r="H30">
            <v>2016500000</v>
          </cell>
        </row>
        <row r="31">
          <cell r="D31">
            <v>750737500</v>
          </cell>
          <cell r="H31">
            <v>289940000</v>
          </cell>
          <cell r="I31">
            <v>460797500</v>
          </cell>
        </row>
        <row r="32">
          <cell r="D32">
            <v>100716000</v>
          </cell>
          <cell r="H32">
            <v>100716000</v>
          </cell>
        </row>
        <row r="33">
          <cell r="D33">
            <v>8720000000</v>
          </cell>
          <cell r="H33">
            <v>8720000000</v>
          </cell>
        </row>
        <row r="34">
          <cell r="D34">
            <v>114450000</v>
          </cell>
          <cell r="H34">
            <v>114450000</v>
          </cell>
        </row>
        <row r="35">
          <cell r="D35">
            <v>1351600000</v>
          </cell>
          <cell r="H35">
            <v>1351600000</v>
          </cell>
        </row>
        <row r="36">
          <cell r="D36">
            <v>223450000</v>
          </cell>
          <cell r="H36">
            <v>223450000</v>
          </cell>
        </row>
        <row r="37">
          <cell r="D37">
            <v>4233654830</v>
          </cell>
          <cell r="H37">
            <v>4233654000</v>
          </cell>
          <cell r="I37">
            <v>830</v>
          </cell>
        </row>
        <row r="38">
          <cell r="D38">
            <v>4233654830</v>
          </cell>
          <cell r="H38">
            <v>4233654830</v>
          </cell>
        </row>
        <row r="39">
          <cell r="D39">
            <v>70850000</v>
          </cell>
          <cell r="H39">
            <v>70850000</v>
          </cell>
        </row>
        <row r="40">
          <cell r="D40">
            <v>152055000</v>
          </cell>
          <cell r="F40">
            <v>20925000</v>
          </cell>
          <cell r="H40">
            <v>131130000</v>
          </cell>
        </row>
        <row r="41">
          <cell r="D41">
            <v>256250280</v>
          </cell>
          <cell r="H41">
            <v>256250280</v>
          </cell>
        </row>
        <row r="42">
          <cell r="D42">
            <v>755370000</v>
          </cell>
          <cell r="H42">
            <v>755370000</v>
          </cell>
        </row>
        <row r="43">
          <cell r="D43">
            <v>15260000000</v>
          </cell>
          <cell r="H43">
            <v>15260000000</v>
          </cell>
        </row>
        <row r="44">
          <cell r="D44">
            <v>119751073</v>
          </cell>
          <cell r="H44">
            <v>119751073</v>
          </cell>
        </row>
        <row r="45">
          <cell r="D45">
            <v>599500000</v>
          </cell>
          <cell r="H45">
            <v>599500000</v>
          </cell>
        </row>
        <row r="46">
          <cell r="D46">
            <v>632200000</v>
          </cell>
          <cell r="H46">
            <v>632200000</v>
          </cell>
        </row>
        <row r="47">
          <cell r="D47">
            <v>9265000000</v>
          </cell>
          <cell r="H47">
            <v>5542000000</v>
          </cell>
          <cell r="I47">
            <v>3723000000</v>
          </cell>
        </row>
        <row r="48">
          <cell r="D48">
            <v>128075000</v>
          </cell>
          <cell r="I48">
            <v>128075000</v>
          </cell>
        </row>
        <row r="49">
          <cell r="D49">
            <v>299750000</v>
          </cell>
          <cell r="H49">
            <v>299750000</v>
          </cell>
        </row>
        <row r="50">
          <cell r="D50">
            <v>70850000</v>
          </cell>
          <cell r="I50">
            <v>70850000</v>
          </cell>
        </row>
        <row r="51">
          <cell r="D51">
            <v>163500000</v>
          </cell>
          <cell r="F51">
            <v>22500000</v>
          </cell>
          <cell r="H51">
            <v>141000000</v>
          </cell>
        </row>
        <row r="52">
          <cell r="D52">
            <v>183937500</v>
          </cell>
          <cell r="H52">
            <v>183937500</v>
          </cell>
        </row>
        <row r="53">
          <cell r="D53">
            <v>232987500</v>
          </cell>
          <cell r="H53">
            <v>232987500</v>
          </cell>
        </row>
        <row r="54">
          <cell r="D54">
            <v>8720000000</v>
          </cell>
          <cell r="H54">
            <v>8720000000</v>
          </cell>
        </row>
        <row r="55">
          <cell r="D55">
            <v>204375000</v>
          </cell>
          <cell r="H55">
            <v>204375000</v>
          </cell>
        </row>
        <row r="56">
          <cell r="D56">
            <v>4796000000</v>
          </cell>
          <cell r="H56">
            <v>4796000000</v>
          </cell>
        </row>
        <row r="57">
          <cell r="D57">
            <v>408750000</v>
          </cell>
          <cell r="F57">
            <v>56250000</v>
          </cell>
          <cell r="H57">
            <v>352500000</v>
          </cell>
        </row>
        <row r="58">
          <cell r="D58">
            <v>221924000</v>
          </cell>
          <cell r="H58">
            <v>221924000</v>
          </cell>
        </row>
        <row r="59">
          <cell r="D59">
            <v>538017187</v>
          </cell>
          <cell r="H59">
            <v>538017187</v>
          </cell>
        </row>
        <row r="60">
          <cell r="D60">
            <v>3815000000</v>
          </cell>
          <cell r="I60">
            <v>3815000000</v>
          </cell>
        </row>
        <row r="61">
          <cell r="D61">
            <v>11772000000</v>
          </cell>
          <cell r="H61">
            <v>11772000000</v>
          </cell>
        </row>
        <row r="62">
          <cell r="D62">
            <v>545000000</v>
          </cell>
          <cell r="F62">
            <v>75000000</v>
          </cell>
          <cell r="H62">
            <v>470000000</v>
          </cell>
        </row>
        <row r="63">
          <cell r="D63">
            <v>12099000000</v>
          </cell>
          <cell r="H63">
            <v>12099000000</v>
          </cell>
        </row>
        <row r="64">
          <cell r="D64">
            <v>130800000</v>
          </cell>
          <cell r="I64">
            <v>130800000</v>
          </cell>
        </row>
        <row r="65">
          <cell r="D65">
            <v>7630000000</v>
          </cell>
          <cell r="H65">
            <v>7630000000</v>
          </cell>
        </row>
        <row r="66">
          <cell r="D66">
            <v>130800000</v>
          </cell>
          <cell r="I66">
            <v>130800000</v>
          </cell>
        </row>
        <row r="67">
          <cell r="D67">
            <v>245250000</v>
          </cell>
          <cell r="I67">
            <v>245250000</v>
          </cell>
        </row>
        <row r="68">
          <cell r="D68">
            <v>163500000</v>
          </cell>
          <cell r="I68">
            <v>163500000</v>
          </cell>
        </row>
        <row r="69">
          <cell r="D69">
            <v>221924000</v>
          </cell>
          <cell r="H69">
            <v>221924000</v>
          </cell>
        </row>
        <row r="70">
          <cell r="D70">
            <v>302148000</v>
          </cell>
          <cell r="H70">
            <v>302148000</v>
          </cell>
        </row>
        <row r="71">
          <cell r="D71">
            <v>59950000</v>
          </cell>
          <cell r="H71">
            <v>59950000</v>
          </cell>
        </row>
        <row r="72">
          <cell r="D72">
            <v>245250000</v>
          </cell>
          <cell r="I72">
            <v>245250000</v>
          </cell>
        </row>
        <row r="73">
          <cell r="D73">
            <v>106315875</v>
          </cell>
          <cell r="H73">
            <v>106315875</v>
          </cell>
        </row>
        <row r="74">
          <cell r="D74">
            <v>198380000</v>
          </cell>
          <cell r="I74">
            <v>198380000</v>
          </cell>
        </row>
        <row r="75">
          <cell r="D75">
            <v>27795000</v>
          </cell>
          <cell r="I75">
            <v>27795000</v>
          </cell>
        </row>
        <row r="76">
          <cell r="D76">
            <v>5463625000</v>
          </cell>
          <cell r="H76">
            <v>5463625000</v>
          </cell>
        </row>
        <row r="77">
          <cell r="D77">
            <v>302148000</v>
          </cell>
          <cell r="H77">
            <v>302148000</v>
          </cell>
        </row>
        <row r="78">
          <cell r="D78">
            <v>453222000</v>
          </cell>
          <cell r="H78">
            <v>453222000</v>
          </cell>
        </row>
        <row r="79">
          <cell r="D79">
            <v>1438560200</v>
          </cell>
          <cell r="H79">
            <v>1438560200</v>
          </cell>
        </row>
        <row r="80">
          <cell r="D80">
            <v>1958766515</v>
          </cell>
          <cell r="H80">
            <v>1958766515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1607384850</v>
          </cell>
          <cell r="H2">
            <v>1607384850</v>
          </cell>
        </row>
        <row r="3">
          <cell r="D3">
            <v>4152900000</v>
          </cell>
          <cell r="H3">
            <v>4152900000</v>
          </cell>
        </row>
        <row r="4">
          <cell r="D4">
            <v>1375100400</v>
          </cell>
          <cell r="H4">
            <v>1375100400</v>
          </cell>
        </row>
        <row r="5">
          <cell r="D5">
            <v>687550200</v>
          </cell>
          <cell r="H5">
            <v>687550200</v>
          </cell>
        </row>
        <row r="6">
          <cell r="D6">
            <v>2551145000</v>
          </cell>
          <cell r="H6">
            <v>2551145000</v>
          </cell>
        </row>
        <row r="7">
          <cell r="D7">
            <v>1373400000</v>
          </cell>
          <cell r="F7">
            <v>189000000</v>
          </cell>
          <cell r="H7">
            <v>1184400000</v>
          </cell>
        </row>
        <row r="8">
          <cell r="D8">
            <v>6104000000</v>
          </cell>
          <cell r="H8">
            <v>5544000000</v>
          </cell>
          <cell r="I8">
            <v>560000000</v>
          </cell>
        </row>
        <row r="9">
          <cell r="D9">
            <v>687550200</v>
          </cell>
          <cell r="H9">
            <v>687550200</v>
          </cell>
        </row>
        <row r="10">
          <cell r="D10">
            <v>1853000000</v>
          </cell>
          <cell r="H10">
            <v>1853000000</v>
          </cell>
        </row>
        <row r="11">
          <cell r="D11">
            <v>3052000000</v>
          </cell>
          <cell r="H11">
            <v>3052000000</v>
          </cell>
        </row>
        <row r="12">
          <cell r="D12">
            <v>71543676000</v>
          </cell>
          <cell r="H12">
            <v>71543676000</v>
          </cell>
        </row>
        <row r="13">
          <cell r="D13">
            <v>2725000000</v>
          </cell>
          <cell r="H13">
            <v>2725000000</v>
          </cell>
        </row>
        <row r="14">
          <cell r="D14">
            <v>4771919720</v>
          </cell>
          <cell r="H14">
            <v>4771919720</v>
          </cell>
        </row>
        <row r="15">
          <cell r="D15">
            <v>3891300000</v>
          </cell>
          <cell r="H15">
            <v>3891300000</v>
          </cell>
        </row>
        <row r="16">
          <cell r="D16">
            <v>5537200000</v>
          </cell>
          <cell r="H16">
            <v>5537200000</v>
          </cell>
        </row>
        <row r="17">
          <cell r="D17">
            <v>75924612720</v>
          </cell>
          <cell r="F17">
            <v>18981153180</v>
          </cell>
          <cell r="H17">
            <v>56943459540</v>
          </cell>
        </row>
        <row r="18">
          <cell r="D18">
            <v>11192948400</v>
          </cell>
          <cell r="H18">
            <v>11192948400</v>
          </cell>
        </row>
        <row r="19">
          <cell r="D19">
            <v>856740000</v>
          </cell>
          <cell r="H19">
            <v>856740000</v>
          </cell>
        </row>
        <row r="20">
          <cell r="D20">
            <v>4771919720</v>
          </cell>
          <cell r="H20">
            <v>4771919720</v>
          </cell>
        </row>
        <row r="21">
          <cell r="D21">
            <v>1991975000</v>
          </cell>
          <cell r="H21">
            <v>1991975000</v>
          </cell>
        </row>
        <row r="22">
          <cell r="D22">
            <v>5569406775</v>
          </cell>
          <cell r="H22">
            <v>5569406775</v>
          </cell>
        </row>
        <row r="23">
          <cell r="D23">
            <v>1929300000</v>
          </cell>
          <cell r="H23">
            <v>1929300000</v>
          </cell>
        </row>
        <row r="24">
          <cell r="D24">
            <v>1907500000</v>
          </cell>
          <cell r="H24">
            <v>1907500000</v>
          </cell>
        </row>
        <row r="25">
          <cell r="D25">
            <v>2016500000</v>
          </cell>
          <cell r="H25">
            <v>2016500000</v>
          </cell>
        </row>
        <row r="26">
          <cell r="D26">
            <v>808720050</v>
          </cell>
          <cell r="H26">
            <v>808720050</v>
          </cell>
        </row>
        <row r="27">
          <cell r="D27">
            <v>3052000000</v>
          </cell>
          <cell r="H27">
            <v>3052000000</v>
          </cell>
        </row>
        <row r="28">
          <cell r="D28">
            <v>1002800000</v>
          </cell>
          <cell r="H28">
            <v>1002800000</v>
          </cell>
        </row>
        <row r="29">
          <cell r="D29">
            <v>4786966080</v>
          </cell>
          <cell r="H29">
            <v>4786966080</v>
          </cell>
        </row>
        <row r="30">
          <cell r="D30">
            <v>3889409940</v>
          </cell>
          <cell r="H30">
            <v>3889409940</v>
          </cell>
        </row>
        <row r="31">
          <cell r="D31">
            <v>1308000000</v>
          </cell>
          <cell r="H31">
            <v>959156400</v>
          </cell>
          <cell r="I31">
            <v>348843600</v>
          </cell>
        </row>
        <row r="32">
          <cell r="D32">
            <v>5827140000</v>
          </cell>
          <cell r="H32">
            <v>5827140000</v>
          </cell>
        </row>
        <row r="33">
          <cell r="D33">
            <v>11817132540</v>
          </cell>
          <cell r="H33">
            <v>11817132540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1650000000</v>
          </cell>
          <cell r="H2">
            <v>1650000000</v>
          </cell>
        </row>
        <row r="3">
          <cell r="D3">
            <v>554400000</v>
          </cell>
          <cell r="H3">
            <v>554400000</v>
          </cell>
        </row>
        <row r="4">
          <cell r="D4">
            <v>61854223860</v>
          </cell>
          <cell r="H4">
            <v>15829476718</v>
          </cell>
          <cell r="I4">
            <v>46024747142</v>
          </cell>
        </row>
        <row r="5">
          <cell r="D5">
            <v>1023000000</v>
          </cell>
          <cell r="H5">
            <v>1023000000</v>
          </cell>
        </row>
        <row r="6">
          <cell r="D6">
            <v>3712129575</v>
          </cell>
          <cell r="H6">
            <v>3712129575</v>
          </cell>
        </row>
        <row r="7">
          <cell r="D7">
            <v>12100000000</v>
          </cell>
          <cell r="H7">
            <v>12100000000</v>
          </cell>
        </row>
        <row r="8">
          <cell r="D8">
            <v>935000000</v>
          </cell>
          <cell r="H8">
            <v>687500000</v>
          </cell>
          <cell r="I8">
            <v>247500000</v>
          </cell>
        </row>
        <row r="9">
          <cell r="D9">
            <v>3135000000</v>
          </cell>
          <cell r="H9">
            <v>3135000000</v>
          </cell>
        </row>
        <row r="10">
          <cell r="D10">
            <v>7656000000</v>
          </cell>
          <cell r="I10">
            <v>7656000000</v>
          </cell>
        </row>
        <row r="11">
          <cell r="D11">
            <v>3712129575</v>
          </cell>
          <cell r="H11">
            <v>3712129575</v>
          </cell>
        </row>
        <row r="12">
          <cell r="D12">
            <v>2756165032</v>
          </cell>
          <cell r="H12">
            <v>2756165032</v>
          </cell>
        </row>
        <row r="13">
          <cell r="D13">
            <v>4911769500</v>
          </cell>
          <cell r="H13">
            <v>4911769500</v>
          </cell>
        </row>
        <row r="14">
          <cell r="D14">
            <v>6490000000</v>
          </cell>
          <cell r="I14">
            <v>6490000000</v>
          </cell>
        </row>
        <row r="15">
          <cell r="D15">
            <v>1045000000</v>
          </cell>
          <cell r="I15">
            <v>1045000000</v>
          </cell>
        </row>
        <row r="16">
          <cell r="D16">
            <v>4257000000</v>
          </cell>
          <cell r="I16">
            <v>4257000000</v>
          </cell>
        </row>
        <row r="17">
          <cell r="D17">
            <v>1045000000</v>
          </cell>
          <cell r="I17">
            <v>1045000000</v>
          </cell>
        </row>
        <row r="18">
          <cell r="D18">
            <v>3575000000</v>
          </cell>
          <cell r="I18">
            <v>3575000000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872000000</v>
          </cell>
          <cell r="F2">
            <v>120000000</v>
          </cell>
          <cell r="H2">
            <v>752000000</v>
          </cell>
        </row>
        <row r="3">
          <cell r="D3">
            <v>341824000</v>
          </cell>
          <cell r="F3">
            <v>47040000</v>
          </cell>
          <cell r="H3">
            <v>294784000</v>
          </cell>
        </row>
        <row r="4">
          <cell r="D4">
            <v>286125000</v>
          </cell>
          <cell r="H4">
            <v>286125000</v>
          </cell>
        </row>
        <row r="5">
          <cell r="D5">
            <v>27795000</v>
          </cell>
          <cell r="I5">
            <v>27795000</v>
          </cell>
        </row>
        <row r="6">
          <cell r="D6">
            <v>19271200</v>
          </cell>
          <cell r="F6">
            <v>2652000</v>
          </cell>
          <cell r="H6">
            <v>16619200</v>
          </cell>
        </row>
        <row r="7">
          <cell r="D7">
            <v>381500000</v>
          </cell>
          <cell r="H7">
            <v>381500000</v>
          </cell>
        </row>
        <row r="8">
          <cell r="D8">
            <v>163500000</v>
          </cell>
          <cell r="H8">
            <v>163500000</v>
          </cell>
        </row>
        <row r="9">
          <cell r="D9">
            <v>239800000</v>
          </cell>
          <cell r="H9">
            <v>239800000</v>
          </cell>
        </row>
        <row r="10">
          <cell r="D10">
            <v>170040000</v>
          </cell>
          <cell r="H10">
            <v>170040000</v>
          </cell>
        </row>
        <row r="11">
          <cell r="D11">
            <v>166497500</v>
          </cell>
          <cell r="F11">
            <v>7637500</v>
          </cell>
          <cell r="H11">
            <v>158860000</v>
          </cell>
        </row>
        <row r="12">
          <cell r="D12">
            <v>89925000</v>
          </cell>
          <cell r="I12">
            <v>89925000</v>
          </cell>
        </row>
        <row r="13">
          <cell r="D13">
            <v>132162500</v>
          </cell>
          <cell r="F13">
            <v>6062500</v>
          </cell>
          <cell r="H13">
            <v>126100000</v>
          </cell>
        </row>
        <row r="14">
          <cell r="D14">
            <v>115812500</v>
          </cell>
          <cell r="H14">
            <v>115812500</v>
          </cell>
        </row>
        <row r="15">
          <cell r="D15">
            <v>68125000</v>
          </cell>
          <cell r="I15">
            <v>68125000</v>
          </cell>
        </row>
        <row r="16">
          <cell r="D16">
            <v>349693800</v>
          </cell>
          <cell r="I16">
            <v>349693800</v>
          </cell>
        </row>
        <row r="17">
          <cell r="D17">
            <v>28885000</v>
          </cell>
          <cell r="H17">
            <v>28885000</v>
          </cell>
        </row>
        <row r="18">
          <cell r="D18">
            <v>44145000</v>
          </cell>
          <cell r="F18">
            <v>6075000</v>
          </cell>
          <cell r="H18">
            <v>38070000</v>
          </cell>
        </row>
        <row r="19">
          <cell r="D19">
            <v>204375000</v>
          </cell>
          <cell r="H19">
            <v>204375000</v>
          </cell>
        </row>
        <row r="20">
          <cell r="D20">
            <v>50412500</v>
          </cell>
          <cell r="F20">
            <v>6937500</v>
          </cell>
          <cell r="H20">
            <v>43475000</v>
          </cell>
        </row>
        <row r="21">
          <cell r="D21">
            <v>239800000</v>
          </cell>
          <cell r="H21">
            <v>220000000</v>
          </cell>
          <cell r="I21">
            <v>19800000</v>
          </cell>
        </row>
        <row r="22">
          <cell r="D22">
            <v>504125000</v>
          </cell>
          <cell r="H22">
            <v>300000000</v>
          </cell>
          <cell r="I22">
            <v>204125000</v>
          </cell>
        </row>
        <row r="23">
          <cell r="D23">
            <v>381500000</v>
          </cell>
          <cell r="H23">
            <v>381500000</v>
          </cell>
        </row>
        <row r="24">
          <cell r="D24">
            <v>381500000</v>
          </cell>
          <cell r="H24">
            <v>381500000</v>
          </cell>
        </row>
        <row r="25">
          <cell r="D25">
            <v>90633500</v>
          </cell>
          <cell r="H25">
            <v>90633500</v>
          </cell>
        </row>
        <row r="26">
          <cell r="D26">
            <v>126712500</v>
          </cell>
          <cell r="F26">
            <v>17437500</v>
          </cell>
          <cell r="H26">
            <v>109275000</v>
          </cell>
        </row>
        <row r="27">
          <cell r="D27">
            <v>495950000</v>
          </cell>
          <cell r="H27">
            <v>495950000</v>
          </cell>
        </row>
        <row r="28">
          <cell r="D28">
            <v>113087500</v>
          </cell>
          <cell r="F28">
            <v>15562500</v>
          </cell>
          <cell r="H28">
            <v>97525000</v>
          </cell>
        </row>
        <row r="29">
          <cell r="D29">
            <v>547180000</v>
          </cell>
          <cell r="F29">
            <v>50200000</v>
          </cell>
          <cell r="H29">
            <v>496980000</v>
          </cell>
        </row>
        <row r="30">
          <cell r="D30">
            <v>81750000</v>
          </cell>
          <cell r="H30">
            <v>81750000</v>
          </cell>
        </row>
        <row r="31">
          <cell r="D31">
            <v>94830000</v>
          </cell>
          <cell r="H31">
            <v>94830000</v>
          </cell>
        </row>
        <row r="32">
          <cell r="D32">
            <v>33572000</v>
          </cell>
          <cell r="F32">
            <v>4620000</v>
          </cell>
          <cell r="H32">
            <v>20958750</v>
          </cell>
          <cell r="I32">
            <v>7993250</v>
          </cell>
        </row>
        <row r="33">
          <cell r="D33">
            <v>403300000</v>
          </cell>
          <cell r="H33">
            <v>403300000</v>
          </cell>
        </row>
        <row r="34">
          <cell r="D34">
            <v>305200000</v>
          </cell>
          <cell r="H34">
            <v>305200000</v>
          </cell>
        </row>
        <row r="35">
          <cell r="D35">
            <v>305200000</v>
          </cell>
          <cell r="I35">
            <v>305200000</v>
          </cell>
        </row>
        <row r="36">
          <cell r="D36">
            <v>381500000</v>
          </cell>
          <cell r="H36">
            <v>381500000</v>
          </cell>
        </row>
        <row r="37">
          <cell r="D37">
            <v>381500000</v>
          </cell>
          <cell r="H37">
            <v>381500000</v>
          </cell>
        </row>
        <row r="38">
          <cell r="D38">
            <v>381500000</v>
          </cell>
          <cell r="H38">
            <v>350000000</v>
          </cell>
          <cell r="I38">
            <v>31500000</v>
          </cell>
        </row>
        <row r="39">
          <cell r="D39">
            <v>436000000</v>
          </cell>
          <cell r="H39">
            <v>436000000</v>
          </cell>
        </row>
        <row r="40">
          <cell r="D40">
            <v>392400000</v>
          </cell>
          <cell r="H40">
            <v>392400000</v>
          </cell>
        </row>
        <row r="41">
          <cell r="D41">
            <v>218000000</v>
          </cell>
          <cell r="I41">
            <v>218000000</v>
          </cell>
        </row>
        <row r="42">
          <cell r="D42">
            <v>397850000</v>
          </cell>
          <cell r="H42">
            <v>397850000</v>
          </cell>
        </row>
        <row r="43">
          <cell r="D43">
            <v>332450000</v>
          </cell>
          <cell r="H43">
            <v>332450000</v>
          </cell>
        </row>
        <row r="44">
          <cell r="D44">
            <v>381500000</v>
          </cell>
          <cell r="H44">
            <v>381500000</v>
          </cell>
        </row>
        <row r="45">
          <cell r="D45">
            <v>231625000</v>
          </cell>
          <cell r="I45">
            <v>231625000</v>
          </cell>
        </row>
        <row r="46">
          <cell r="D46">
            <v>439270000</v>
          </cell>
          <cell r="H46">
            <v>439270000</v>
          </cell>
        </row>
        <row r="47">
          <cell r="D47">
            <v>381500000</v>
          </cell>
          <cell r="H47">
            <v>381500000</v>
          </cell>
        </row>
        <row r="48">
          <cell r="D48">
            <v>201650000</v>
          </cell>
          <cell r="H48">
            <v>201650000</v>
          </cell>
        </row>
        <row r="49">
          <cell r="D49">
            <v>381500000</v>
          </cell>
          <cell r="H49">
            <v>381500000</v>
          </cell>
        </row>
        <row r="50">
          <cell r="D50">
            <v>425564748</v>
          </cell>
          <cell r="F50">
            <v>19518198</v>
          </cell>
          <cell r="H50">
            <v>406046550</v>
          </cell>
        </row>
        <row r="51">
          <cell r="D51">
            <v>449625000</v>
          </cell>
          <cell r="F51">
            <v>61875000</v>
          </cell>
          <cell r="H51">
            <v>387750000</v>
          </cell>
        </row>
        <row r="52">
          <cell r="D52">
            <v>270320000</v>
          </cell>
          <cell r="H52">
            <v>270320000</v>
          </cell>
        </row>
        <row r="53">
          <cell r="D53">
            <v>436000000</v>
          </cell>
          <cell r="F53">
            <v>20000000</v>
          </cell>
          <cell r="H53">
            <v>416000000</v>
          </cell>
        </row>
        <row r="54">
          <cell r="D54">
            <v>83248750</v>
          </cell>
          <cell r="F54">
            <v>3818750</v>
          </cell>
          <cell r="H54">
            <v>79430000</v>
          </cell>
        </row>
        <row r="55">
          <cell r="D55">
            <v>842025000</v>
          </cell>
          <cell r="F55">
            <v>115875000</v>
          </cell>
          <cell r="H55">
            <v>726150000</v>
          </cell>
        </row>
        <row r="56">
          <cell r="D56">
            <v>119998100</v>
          </cell>
          <cell r="F56">
            <v>16513500</v>
          </cell>
          <cell r="H56">
            <v>103484600</v>
          </cell>
        </row>
        <row r="57">
          <cell r="D57">
            <v>305200000</v>
          </cell>
          <cell r="I57">
            <v>305200000</v>
          </cell>
        </row>
        <row r="58">
          <cell r="D58">
            <v>381500000</v>
          </cell>
          <cell r="H58">
            <v>381500000</v>
          </cell>
        </row>
        <row r="59">
          <cell r="D59">
            <v>305200000</v>
          </cell>
          <cell r="H59">
            <v>305200000</v>
          </cell>
        </row>
        <row r="60">
          <cell r="D60">
            <v>381500000</v>
          </cell>
          <cell r="H60">
            <v>381500000</v>
          </cell>
        </row>
        <row r="61">
          <cell r="D61">
            <v>381500000</v>
          </cell>
          <cell r="H61">
            <v>381500000</v>
          </cell>
        </row>
        <row r="62">
          <cell r="D62">
            <v>403300000</v>
          </cell>
          <cell r="H62">
            <v>403300000</v>
          </cell>
        </row>
        <row r="63">
          <cell r="D63">
            <v>34887630</v>
          </cell>
          <cell r="I63">
            <v>34887630</v>
          </cell>
        </row>
        <row r="64">
          <cell r="D64">
            <v>164862500</v>
          </cell>
          <cell r="F64">
            <v>22687500</v>
          </cell>
          <cell r="H64">
            <v>142175000</v>
          </cell>
        </row>
        <row r="65">
          <cell r="D65">
            <v>439270000</v>
          </cell>
          <cell r="H65">
            <v>439270000</v>
          </cell>
        </row>
        <row r="66">
          <cell r="D66">
            <v>599500000</v>
          </cell>
          <cell r="H66">
            <v>599500000</v>
          </cell>
        </row>
        <row r="67">
          <cell r="D67">
            <v>305200000</v>
          </cell>
          <cell r="H67">
            <v>305200000</v>
          </cell>
        </row>
        <row r="68">
          <cell r="D68">
            <v>436000000</v>
          </cell>
          <cell r="F68">
            <v>60000000</v>
          </cell>
          <cell r="H68">
            <v>376000000</v>
          </cell>
        </row>
        <row r="69">
          <cell r="D69">
            <v>245250000</v>
          </cell>
          <cell r="F69">
            <v>17505000</v>
          </cell>
          <cell r="H69">
            <v>227745000</v>
          </cell>
        </row>
        <row r="70">
          <cell r="D70">
            <v>95920000</v>
          </cell>
          <cell r="H70">
            <v>95920000</v>
          </cell>
        </row>
        <row r="71">
          <cell r="D71">
            <v>2997500000</v>
          </cell>
          <cell r="H71">
            <v>2997500000</v>
          </cell>
        </row>
        <row r="72">
          <cell r="D72">
            <v>449625000</v>
          </cell>
          <cell r="F72">
            <v>61875000</v>
          </cell>
          <cell r="H72">
            <v>387750000</v>
          </cell>
        </row>
        <row r="73">
          <cell r="D73">
            <v>663156000</v>
          </cell>
          <cell r="H73">
            <v>663156000</v>
          </cell>
        </row>
        <row r="74">
          <cell r="D74">
            <v>50412500</v>
          </cell>
          <cell r="H74">
            <v>4162500</v>
          </cell>
          <cell r="I74">
            <v>46250000</v>
          </cell>
        </row>
        <row r="75">
          <cell r="D75">
            <v>148785000</v>
          </cell>
          <cell r="F75">
            <v>6825000</v>
          </cell>
          <cell r="H75">
            <v>141960000</v>
          </cell>
        </row>
        <row r="76">
          <cell r="D76">
            <v>531375000</v>
          </cell>
          <cell r="F76">
            <v>73125000</v>
          </cell>
          <cell r="H76">
            <v>414375000</v>
          </cell>
          <cell r="I76">
            <v>43875000</v>
          </cell>
        </row>
        <row r="77">
          <cell r="D77">
            <v>340080000</v>
          </cell>
          <cell r="F77">
            <v>46800000</v>
          </cell>
          <cell r="H77">
            <v>265200000</v>
          </cell>
          <cell r="I77">
            <v>28080000</v>
          </cell>
        </row>
        <row r="78">
          <cell r="D78">
            <v>2452500000</v>
          </cell>
          <cell r="F78">
            <v>375075000</v>
          </cell>
          <cell r="H78">
            <v>2077425000</v>
          </cell>
        </row>
        <row r="79">
          <cell r="D79">
            <v>173718750</v>
          </cell>
          <cell r="H79">
            <v>173718750</v>
          </cell>
        </row>
        <row r="80">
          <cell r="D80">
            <v>126712500</v>
          </cell>
          <cell r="F80">
            <v>17437500</v>
          </cell>
          <cell r="H80">
            <v>109275000</v>
          </cell>
        </row>
        <row r="81">
          <cell r="D81">
            <v>272500000</v>
          </cell>
          <cell r="H81">
            <v>272500000</v>
          </cell>
        </row>
        <row r="82">
          <cell r="D82">
            <v>217782000</v>
          </cell>
          <cell r="H82">
            <v>217782000</v>
          </cell>
        </row>
        <row r="83">
          <cell r="D83">
            <v>174846900</v>
          </cell>
          <cell r="F83">
            <v>26740347</v>
          </cell>
          <cell r="H83">
            <v>148106553</v>
          </cell>
        </row>
        <row r="84">
          <cell r="D84">
            <v>547180000</v>
          </cell>
          <cell r="I84">
            <v>547180000</v>
          </cell>
        </row>
        <row r="85">
          <cell r="D85">
            <v>113087500</v>
          </cell>
          <cell r="F85">
            <v>15562500</v>
          </cell>
          <cell r="H85">
            <v>97525000</v>
          </cell>
        </row>
        <row r="86">
          <cell r="D86">
            <v>92650000</v>
          </cell>
          <cell r="I86">
            <v>92650000</v>
          </cell>
        </row>
        <row r="87">
          <cell r="D87">
            <v>2348950000</v>
          </cell>
          <cell r="H87">
            <v>2348950000</v>
          </cell>
        </row>
        <row r="88">
          <cell r="D88">
            <v>381500000</v>
          </cell>
          <cell r="H88">
            <v>381500000</v>
          </cell>
        </row>
        <row r="89">
          <cell r="D89">
            <v>220725000</v>
          </cell>
          <cell r="H89">
            <v>220725000</v>
          </cell>
        </row>
        <row r="90">
          <cell r="D90">
            <v>523200000</v>
          </cell>
          <cell r="H90">
            <v>523200000</v>
          </cell>
        </row>
        <row r="91">
          <cell r="D91">
            <v>403300000</v>
          </cell>
          <cell r="I91">
            <v>403300000</v>
          </cell>
        </row>
        <row r="92">
          <cell r="D92">
            <v>215820000</v>
          </cell>
          <cell r="H92">
            <v>215820000</v>
          </cell>
        </row>
        <row r="93">
          <cell r="D93">
            <v>3106500000</v>
          </cell>
          <cell r="H93">
            <v>3106500000</v>
          </cell>
        </row>
        <row r="94">
          <cell r="D94">
            <v>735750000</v>
          </cell>
          <cell r="F94">
            <v>176250000</v>
          </cell>
          <cell r="H94">
            <v>559500000</v>
          </cell>
        </row>
        <row r="95">
          <cell r="D95">
            <v>704576000</v>
          </cell>
          <cell r="H95">
            <v>688610300</v>
          </cell>
          <cell r="I95">
            <v>15965700</v>
          </cell>
        </row>
        <row r="96">
          <cell r="D96">
            <v>223450000</v>
          </cell>
          <cell r="F96">
            <v>30750000</v>
          </cell>
          <cell r="H96">
            <v>192700000</v>
          </cell>
        </row>
        <row r="97">
          <cell r="D97">
            <v>113796000</v>
          </cell>
          <cell r="H97">
            <v>113796000</v>
          </cell>
        </row>
        <row r="98">
          <cell r="D98">
            <v>347437500</v>
          </cell>
          <cell r="F98">
            <v>47812500</v>
          </cell>
          <cell r="H98">
            <v>299625000</v>
          </cell>
        </row>
        <row r="99">
          <cell r="D99">
            <v>3460750000</v>
          </cell>
          <cell r="H99">
            <v>3460750000</v>
          </cell>
        </row>
        <row r="100">
          <cell r="D100">
            <v>163500000</v>
          </cell>
          <cell r="H100">
            <v>163500000</v>
          </cell>
        </row>
        <row r="101">
          <cell r="D101">
            <v>269230000</v>
          </cell>
          <cell r="H101">
            <v>269230000</v>
          </cell>
        </row>
        <row r="102">
          <cell r="D102">
            <v>83248750</v>
          </cell>
          <cell r="I102">
            <v>83248750</v>
          </cell>
        </row>
        <row r="103">
          <cell r="D103">
            <v>81750000</v>
          </cell>
          <cell r="H103">
            <v>81750000</v>
          </cell>
        </row>
        <row r="104">
          <cell r="D104">
            <v>842025000</v>
          </cell>
          <cell r="F104">
            <v>115875000</v>
          </cell>
          <cell r="H104">
            <v>726150000</v>
          </cell>
        </row>
        <row r="105">
          <cell r="D105">
            <v>425568018</v>
          </cell>
          <cell r="F105">
            <v>19521468</v>
          </cell>
          <cell r="H105">
            <v>406046550</v>
          </cell>
        </row>
        <row r="106">
          <cell r="D106">
            <v>148785000</v>
          </cell>
          <cell r="F106">
            <v>6825000</v>
          </cell>
          <cell r="H106">
            <v>141960000</v>
          </cell>
        </row>
        <row r="107">
          <cell r="D107">
            <v>130080600</v>
          </cell>
          <cell r="H107">
            <v>112179600</v>
          </cell>
          <cell r="I107">
            <v>17901000</v>
          </cell>
        </row>
        <row r="108">
          <cell r="D108">
            <v>219090000</v>
          </cell>
          <cell r="F108">
            <v>10050000</v>
          </cell>
          <cell r="H108">
            <v>209040000</v>
          </cell>
        </row>
        <row r="109">
          <cell r="D109">
            <v>208462500</v>
          </cell>
          <cell r="F109">
            <v>28687500</v>
          </cell>
          <cell r="H109">
            <v>179775000</v>
          </cell>
        </row>
        <row r="110">
          <cell r="D110">
            <v>168950000</v>
          </cell>
          <cell r="H110">
            <v>168950000</v>
          </cell>
        </row>
        <row r="111">
          <cell r="D111">
            <v>392672500</v>
          </cell>
          <cell r="F111">
            <v>54037500</v>
          </cell>
          <cell r="H111">
            <v>338635000</v>
          </cell>
        </row>
        <row r="112">
          <cell r="D112">
            <v>275661000</v>
          </cell>
          <cell r="F112">
            <v>37935000</v>
          </cell>
          <cell r="H112">
            <v>237726000</v>
          </cell>
        </row>
        <row r="113">
          <cell r="D113">
            <v>337900000</v>
          </cell>
          <cell r="H113">
            <v>337900000</v>
          </cell>
        </row>
        <row r="114">
          <cell r="D114">
            <v>436000000</v>
          </cell>
          <cell r="H114">
            <v>436000000</v>
          </cell>
        </row>
        <row r="115">
          <cell r="D115">
            <v>490500000</v>
          </cell>
          <cell r="H115">
            <v>490500000</v>
          </cell>
        </row>
        <row r="116">
          <cell r="D116">
            <v>381500000</v>
          </cell>
          <cell r="H116">
            <v>381500000</v>
          </cell>
        </row>
        <row r="117">
          <cell r="D117">
            <v>305200000</v>
          </cell>
          <cell r="H117">
            <v>305200000</v>
          </cell>
        </row>
        <row r="118">
          <cell r="D118">
            <v>234350000</v>
          </cell>
          <cell r="H118">
            <v>234350000</v>
          </cell>
        </row>
        <row r="119">
          <cell r="D119">
            <v>1035500000</v>
          </cell>
          <cell r="H119">
            <v>1035500000</v>
          </cell>
        </row>
        <row r="120">
          <cell r="D120">
            <v>430550000</v>
          </cell>
          <cell r="H120">
            <v>430550000</v>
          </cell>
        </row>
        <row r="121">
          <cell r="D121">
            <v>818317500</v>
          </cell>
          <cell r="H121">
            <v>593092500</v>
          </cell>
          <cell r="I121">
            <v>225225000</v>
          </cell>
        </row>
        <row r="122">
          <cell r="D122">
            <v>1287072000</v>
          </cell>
          <cell r="H122">
            <v>932832000</v>
          </cell>
          <cell r="I122">
            <v>354240000</v>
          </cell>
        </row>
        <row r="123">
          <cell r="D123">
            <v>223450000</v>
          </cell>
          <cell r="F123">
            <v>30750000</v>
          </cell>
          <cell r="H123">
            <v>192700000</v>
          </cell>
        </row>
        <row r="124">
          <cell r="D124">
            <v>1082261000</v>
          </cell>
          <cell r="F124">
            <v>148935000</v>
          </cell>
          <cell r="H124">
            <v>933326000</v>
          </cell>
        </row>
        <row r="125">
          <cell r="D125">
            <v>3597000000</v>
          </cell>
          <cell r="H125">
            <v>3597000000</v>
          </cell>
        </row>
        <row r="126">
          <cell r="D126">
            <v>436000000</v>
          </cell>
          <cell r="I126">
            <v>436000000</v>
          </cell>
        </row>
        <row r="127">
          <cell r="D127">
            <v>436000000</v>
          </cell>
          <cell r="H127">
            <v>436000000</v>
          </cell>
        </row>
        <row r="128">
          <cell r="D128">
            <v>164862500</v>
          </cell>
          <cell r="F128">
            <v>7562500</v>
          </cell>
          <cell r="H128">
            <v>157300000</v>
          </cell>
        </row>
        <row r="129">
          <cell r="D129">
            <v>377412500</v>
          </cell>
          <cell r="F129">
            <v>51937500</v>
          </cell>
          <cell r="H129">
            <v>325475000</v>
          </cell>
        </row>
        <row r="130">
          <cell r="D130">
            <v>173718750</v>
          </cell>
          <cell r="H130">
            <v>173718750</v>
          </cell>
        </row>
        <row r="131">
          <cell r="D131">
            <v>580261500</v>
          </cell>
          <cell r="I131">
            <v>580261500</v>
          </cell>
        </row>
        <row r="132">
          <cell r="D132">
            <v>671555812</v>
          </cell>
          <cell r="H132">
            <v>324499875</v>
          </cell>
          <cell r="I132">
            <v>347055937</v>
          </cell>
        </row>
        <row r="133">
          <cell r="D133">
            <v>461233500</v>
          </cell>
          <cell r="H133">
            <v>461233500</v>
          </cell>
        </row>
        <row r="134">
          <cell r="D134">
            <v>1340700000</v>
          </cell>
          <cell r="H134">
            <v>1340700000</v>
          </cell>
        </row>
        <row r="135">
          <cell r="D135">
            <v>61868400</v>
          </cell>
          <cell r="H135">
            <v>61868400</v>
          </cell>
        </row>
        <row r="136">
          <cell r="D136">
            <v>449625000</v>
          </cell>
          <cell r="F136">
            <v>61875000</v>
          </cell>
          <cell r="H136">
            <v>387750000</v>
          </cell>
        </row>
        <row r="137">
          <cell r="D137">
            <v>148512500</v>
          </cell>
          <cell r="F137">
            <v>6812500</v>
          </cell>
          <cell r="H137">
            <v>141700000</v>
          </cell>
        </row>
        <row r="138">
          <cell r="D138">
            <v>75482500</v>
          </cell>
          <cell r="F138">
            <v>10387500</v>
          </cell>
          <cell r="H138">
            <v>65095000</v>
          </cell>
        </row>
        <row r="139">
          <cell r="D139">
            <v>327000000</v>
          </cell>
          <cell r="H139">
            <v>327000000</v>
          </cell>
        </row>
        <row r="140">
          <cell r="D140">
            <v>327000000</v>
          </cell>
          <cell r="I140">
            <v>327000000</v>
          </cell>
        </row>
        <row r="141">
          <cell r="D141">
            <v>12088100</v>
          </cell>
          <cell r="I141">
            <v>12088100</v>
          </cell>
        </row>
        <row r="142">
          <cell r="D142">
            <v>286125000</v>
          </cell>
          <cell r="H142">
            <v>286125000</v>
          </cell>
        </row>
        <row r="143">
          <cell r="D143">
            <v>2479750000</v>
          </cell>
          <cell r="H143">
            <v>2479750000</v>
          </cell>
        </row>
        <row r="144">
          <cell r="D144">
            <v>555900000</v>
          </cell>
          <cell r="F144">
            <v>76500000</v>
          </cell>
          <cell r="H144">
            <v>479400000</v>
          </cell>
        </row>
        <row r="145">
          <cell r="D145">
            <v>220725000</v>
          </cell>
          <cell r="H145">
            <v>220725000</v>
          </cell>
        </row>
        <row r="146">
          <cell r="D146">
            <v>512300000</v>
          </cell>
          <cell r="H146">
            <v>512300000</v>
          </cell>
        </row>
        <row r="147">
          <cell r="D147">
            <v>126712500</v>
          </cell>
          <cell r="F147">
            <v>17437500</v>
          </cell>
          <cell r="H147">
            <v>109275000</v>
          </cell>
        </row>
        <row r="148">
          <cell r="D148">
            <v>98100000</v>
          </cell>
          <cell r="H148">
            <v>98100000</v>
          </cell>
        </row>
        <row r="149">
          <cell r="D149">
            <v>2452500000</v>
          </cell>
          <cell r="F149">
            <v>2452500000</v>
          </cell>
        </row>
        <row r="150">
          <cell r="D150">
            <v>343350000</v>
          </cell>
          <cell r="H150">
            <v>343350000</v>
          </cell>
        </row>
        <row r="151">
          <cell r="D151">
            <v>1682742000</v>
          </cell>
          <cell r="H151">
            <v>1682742000</v>
          </cell>
        </row>
        <row r="152">
          <cell r="D152">
            <v>981000000</v>
          </cell>
          <cell r="H152">
            <v>981000000</v>
          </cell>
        </row>
        <row r="153">
          <cell r="D153">
            <v>225266376</v>
          </cell>
          <cell r="I153">
            <v>225266376</v>
          </cell>
        </row>
        <row r="154">
          <cell r="D154">
            <v>196200000</v>
          </cell>
          <cell r="H154">
            <v>196200000</v>
          </cell>
        </row>
        <row r="155">
          <cell r="D155">
            <v>113087500</v>
          </cell>
          <cell r="H155">
            <v>9337500</v>
          </cell>
          <cell r="I155">
            <v>103750000</v>
          </cell>
        </row>
        <row r="156">
          <cell r="D156">
            <v>220725000</v>
          </cell>
          <cell r="H156">
            <v>200000000</v>
          </cell>
          <cell r="I156">
            <v>20725000</v>
          </cell>
        </row>
        <row r="157">
          <cell r="D157">
            <v>141700000</v>
          </cell>
          <cell r="F157">
            <v>39000000</v>
          </cell>
          <cell r="H157">
            <v>102700000</v>
          </cell>
        </row>
        <row r="158">
          <cell r="D158">
            <v>239800000</v>
          </cell>
          <cell r="H158">
            <v>238705920</v>
          </cell>
          <cell r="I158">
            <v>1094080</v>
          </cell>
        </row>
        <row r="159">
          <cell r="D159">
            <v>12010928000</v>
          </cell>
          <cell r="H159">
            <v>12010928000</v>
          </cell>
        </row>
        <row r="160">
          <cell r="D160">
            <v>381500000</v>
          </cell>
          <cell r="H160">
            <v>381500000</v>
          </cell>
        </row>
        <row r="161">
          <cell r="D161">
            <v>158050000</v>
          </cell>
          <cell r="H161">
            <v>158050000</v>
          </cell>
        </row>
        <row r="162">
          <cell r="D162">
            <v>261600000</v>
          </cell>
          <cell r="F162">
            <v>36000000</v>
          </cell>
          <cell r="H162">
            <v>225600000</v>
          </cell>
        </row>
        <row r="163">
          <cell r="D163">
            <v>5773185000</v>
          </cell>
          <cell r="H163">
            <v>5773185000</v>
          </cell>
        </row>
        <row r="164">
          <cell r="D164">
            <v>327000000</v>
          </cell>
          <cell r="F164">
            <v>45000000</v>
          </cell>
          <cell r="H164">
            <v>282000000</v>
          </cell>
        </row>
        <row r="165">
          <cell r="D165">
            <v>195371600</v>
          </cell>
          <cell r="H165">
            <v>166065860</v>
          </cell>
          <cell r="I165">
            <v>29305740</v>
          </cell>
        </row>
        <row r="166">
          <cell r="D166">
            <v>305200000</v>
          </cell>
          <cell r="F166">
            <v>46676000</v>
          </cell>
          <cell r="H166">
            <v>258524000</v>
          </cell>
        </row>
        <row r="167">
          <cell r="D167">
            <v>1090000000</v>
          </cell>
          <cell r="H167">
            <v>1090000000</v>
          </cell>
        </row>
        <row r="168">
          <cell r="D168">
            <v>755915000</v>
          </cell>
          <cell r="F168">
            <v>115606450</v>
          </cell>
          <cell r="H168">
            <v>640308550</v>
          </cell>
        </row>
        <row r="169">
          <cell r="D169">
            <v>436000000</v>
          </cell>
          <cell r="I169">
            <v>436000000</v>
          </cell>
        </row>
        <row r="170">
          <cell r="D170">
            <v>425568018</v>
          </cell>
          <cell r="F170">
            <v>19521468</v>
          </cell>
          <cell r="H170">
            <v>406046550</v>
          </cell>
        </row>
        <row r="171">
          <cell r="D171">
            <v>842025000</v>
          </cell>
          <cell r="F171">
            <v>115875000</v>
          </cell>
          <cell r="H171">
            <v>726150000</v>
          </cell>
        </row>
        <row r="172">
          <cell r="D172">
            <v>628330500</v>
          </cell>
          <cell r="F172">
            <v>86467500</v>
          </cell>
          <cell r="H172">
            <v>541863000</v>
          </cell>
        </row>
        <row r="173">
          <cell r="D173">
            <v>104231250</v>
          </cell>
          <cell r="F173">
            <v>14343750</v>
          </cell>
          <cell r="H173">
            <v>89887500</v>
          </cell>
        </row>
        <row r="174">
          <cell r="D174">
            <v>81750000</v>
          </cell>
          <cell r="H174">
            <v>81750000</v>
          </cell>
        </row>
        <row r="175">
          <cell r="D175">
            <v>148785000</v>
          </cell>
          <cell r="F175">
            <v>6825000</v>
          </cell>
          <cell r="H175">
            <v>141960000</v>
          </cell>
        </row>
        <row r="176">
          <cell r="D176">
            <v>108891000</v>
          </cell>
          <cell r="H176">
            <v>108891000</v>
          </cell>
        </row>
        <row r="177">
          <cell r="D177">
            <v>817500000</v>
          </cell>
          <cell r="I177">
            <v>817500000</v>
          </cell>
        </row>
        <row r="178">
          <cell r="D178">
            <v>833850000</v>
          </cell>
          <cell r="I178">
            <v>833850000</v>
          </cell>
        </row>
        <row r="179">
          <cell r="D179">
            <v>347437500</v>
          </cell>
          <cell r="F179">
            <v>47812000</v>
          </cell>
          <cell r="H179">
            <v>299625500</v>
          </cell>
        </row>
        <row r="180">
          <cell r="D180">
            <v>21800000</v>
          </cell>
          <cell r="H180">
            <v>21800000</v>
          </cell>
        </row>
        <row r="181">
          <cell r="D181">
            <v>85456000</v>
          </cell>
          <cell r="I181">
            <v>85456000</v>
          </cell>
        </row>
        <row r="182">
          <cell r="D182">
            <v>964595500</v>
          </cell>
          <cell r="F182">
            <v>132742500</v>
          </cell>
          <cell r="H182">
            <v>831853000</v>
          </cell>
        </row>
        <row r="183">
          <cell r="D183">
            <v>392672500</v>
          </cell>
          <cell r="I183">
            <v>392672500</v>
          </cell>
        </row>
        <row r="184">
          <cell r="D184">
            <v>159412500</v>
          </cell>
          <cell r="H184">
            <v>159412500</v>
          </cell>
        </row>
        <row r="185">
          <cell r="D185">
            <v>418560000</v>
          </cell>
          <cell r="H185">
            <v>418560000</v>
          </cell>
        </row>
        <row r="186">
          <cell r="D186">
            <v>490500000</v>
          </cell>
          <cell r="H186">
            <v>490500000</v>
          </cell>
        </row>
        <row r="187">
          <cell r="D187">
            <v>4578000000</v>
          </cell>
          <cell r="H187">
            <v>4578000000</v>
          </cell>
        </row>
        <row r="188">
          <cell r="D188">
            <v>223450000</v>
          </cell>
          <cell r="H188">
            <v>223450000</v>
          </cell>
        </row>
        <row r="189">
          <cell r="D189">
            <v>2289000000</v>
          </cell>
          <cell r="H189">
            <v>2289000000</v>
          </cell>
        </row>
        <row r="190">
          <cell r="D190">
            <v>545000000</v>
          </cell>
          <cell r="H190">
            <v>545000000</v>
          </cell>
        </row>
        <row r="191">
          <cell r="D191">
            <v>495950000</v>
          </cell>
          <cell r="H191">
            <v>495950000</v>
          </cell>
        </row>
        <row r="192">
          <cell r="D192">
            <v>223450000</v>
          </cell>
          <cell r="F192">
            <v>30750000</v>
          </cell>
          <cell r="H192">
            <v>192700000</v>
          </cell>
        </row>
        <row r="193">
          <cell r="D193">
            <v>275661000</v>
          </cell>
          <cell r="F193">
            <v>37935000</v>
          </cell>
          <cell r="H193">
            <v>237726000</v>
          </cell>
        </row>
        <row r="194">
          <cell r="D194">
            <v>132162500</v>
          </cell>
          <cell r="I194">
            <v>132162500</v>
          </cell>
        </row>
        <row r="195">
          <cell r="D195">
            <v>280675000</v>
          </cell>
          <cell r="I195">
            <v>280675000</v>
          </cell>
        </row>
        <row r="196">
          <cell r="D196">
            <v>173718750</v>
          </cell>
          <cell r="I196">
            <v>173718750</v>
          </cell>
        </row>
        <row r="197">
          <cell r="D197">
            <v>1656255000</v>
          </cell>
          <cell r="F197">
            <v>227925000</v>
          </cell>
          <cell r="H197">
            <v>1428330000</v>
          </cell>
        </row>
        <row r="198">
          <cell r="D198">
            <v>130800000</v>
          </cell>
          <cell r="H198">
            <v>130800000</v>
          </cell>
        </row>
        <row r="199">
          <cell r="D199">
            <v>367875000</v>
          </cell>
          <cell r="H199">
            <v>367875000</v>
          </cell>
        </row>
        <row r="200">
          <cell r="D200">
            <v>148512500</v>
          </cell>
          <cell r="F200">
            <v>6812500</v>
          </cell>
          <cell r="H200">
            <v>141700000</v>
          </cell>
        </row>
        <row r="201">
          <cell r="D201">
            <v>599500000</v>
          </cell>
          <cell r="H201">
            <v>599500000</v>
          </cell>
        </row>
        <row r="202">
          <cell r="D202">
            <v>449625000</v>
          </cell>
          <cell r="I202">
            <v>449625000</v>
          </cell>
        </row>
        <row r="203">
          <cell r="D203">
            <v>75618750</v>
          </cell>
          <cell r="F203">
            <v>10406250</v>
          </cell>
          <cell r="H203">
            <v>65212500</v>
          </cell>
        </row>
        <row r="204">
          <cell r="D204">
            <v>599500000</v>
          </cell>
          <cell r="H204">
            <v>599500000</v>
          </cell>
        </row>
        <row r="205">
          <cell r="D205">
            <v>107910000</v>
          </cell>
          <cell r="I205">
            <v>107910000</v>
          </cell>
        </row>
        <row r="206">
          <cell r="D206">
            <v>594050000</v>
          </cell>
          <cell r="H206">
            <v>594050000</v>
          </cell>
        </row>
        <row r="207">
          <cell r="D207">
            <v>846566212</v>
          </cell>
          <cell r="H207">
            <v>846566212</v>
          </cell>
        </row>
        <row r="208">
          <cell r="D208">
            <v>398613000</v>
          </cell>
          <cell r="H208">
            <v>398613000</v>
          </cell>
        </row>
        <row r="209">
          <cell r="D209">
            <v>237075000</v>
          </cell>
          <cell r="H209">
            <v>237075000</v>
          </cell>
        </row>
        <row r="210">
          <cell r="D210">
            <v>457800000</v>
          </cell>
          <cell r="H210">
            <v>457800000</v>
          </cell>
        </row>
        <row r="211">
          <cell r="D211">
            <v>2888500000</v>
          </cell>
          <cell r="H211">
            <v>2888500000</v>
          </cell>
        </row>
        <row r="212">
          <cell r="D212">
            <v>613888000</v>
          </cell>
          <cell r="H212">
            <v>613888000</v>
          </cell>
        </row>
        <row r="213">
          <cell r="D213">
            <v>1144500000</v>
          </cell>
          <cell r="H213">
            <v>1144500000</v>
          </cell>
        </row>
        <row r="214">
          <cell r="D214">
            <v>43600000</v>
          </cell>
          <cell r="H214">
            <v>43600000</v>
          </cell>
        </row>
        <row r="215">
          <cell r="D215">
            <v>828127500</v>
          </cell>
          <cell r="F215">
            <v>113962500</v>
          </cell>
          <cell r="H215">
            <v>714165000</v>
          </cell>
        </row>
        <row r="216">
          <cell r="D216">
            <v>130080600</v>
          </cell>
          <cell r="F216">
            <v>17901000</v>
          </cell>
          <cell r="H216">
            <v>112179600</v>
          </cell>
        </row>
        <row r="217">
          <cell r="D217">
            <v>11445000000</v>
          </cell>
          <cell r="H217">
            <v>11445000000</v>
          </cell>
        </row>
        <row r="218">
          <cell r="D218">
            <v>588600000</v>
          </cell>
          <cell r="H218">
            <v>588600000</v>
          </cell>
        </row>
        <row r="219">
          <cell r="D219">
            <v>597320000</v>
          </cell>
          <cell r="I219">
            <v>597320000</v>
          </cell>
        </row>
        <row r="220">
          <cell r="D220">
            <v>126712500</v>
          </cell>
          <cell r="H220">
            <v>91837500</v>
          </cell>
          <cell r="I220">
            <v>34875000</v>
          </cell>
        </row>
        <row r="221">
          <cell r="D221">
            <v>722670000</v>
          </cell>
          <cell r="H221">
            <v>722670000</v>
          </cell>
        </row>
        <row r="222">
          <cell r="D222">
            <v>282691500</v>
          </cell>
          <cell r="H222">
            <v>282691500</v>
          </cell>
        </row>
        <row r="223">
          <cell r="D223">
            <v>495950000</v>
          </cell>
          <cell r="H223">
            <v>495950000</v>
          </cell>
        </row>
        <row r="224">
          <cell r="D224">
            <v>741200000</v>
          </cell>
          <cell r="I224">
            <v>741200000</v>
          </cell>
        </row>
        <row r="225">
          <cell r="D225">
            <v>708500000</v>
          </cell>
          <cell r="H225">
            <v>708500000</v>
          </cell>
        </row>
        <row r="226">
          <cell r="D226">
            <v>325910000</v>
          </cell>
          <cell r="H226">
            <v>325910000</v>
          </cell>
        </row>
        <row r="227">
          <cell r="D227">
            <v>87066475</v>
          </cell>
          <cell r="H227">
            <v>87066475</v>
          </cell>
        </row>
        <row r="228">
          <cell r="D228">
            <v>994080000</v>
          </cell>
          <cell r="H228">
            <v>994080000</v>
          </cell>
        </row>
        <row r="229">
          <cell r="D229">
            <v>666344250</v>
          </cell>
          <cell r="F229">
            <v>30566250</v>
          </cell>
          <cell r="H229">
            <v>635778000</v>
          </cell>
        </row>
        <row r="230">
          <cell r="D230">
            <v>104231250</v>
          </cell>
          <cell r="F230">
            <v>14343750</v>
          </cell>
          <cell r="H230">
            <v>89887500</v>
          </cell>
        </row>
        <row r="231">
          <cell r="D231">
            <v>429460000</v>
          </cell>
          <cell r="H231">
            <v>429460000</v>
          </cell>
        </row>
        <row r="232">
          <cell r="D232">
            <v>776625000</v>
          </cell>
          <cell r="F232">
            <v>35625000</v>
          </cell>
          <cell r="H232">
            <v>741000000</v>
          </cell>
        </row>
        <row r="233">
          <cell r="D233">
            <v>235222000</v>
          </cell>
          <cell r="F233">
            <v>32370000</v>
          </cell>
          <cell r="H233">
            <v>202852000</v>
          </cell>
        </row>
        <row r="234">
          <cell r="D234">
            <v>84474891</v>
          </cell>
          <cell r="I234">
            <v>84474891</v>
          </cell>
        </row>
        <row r="235">
          <cell r="D235">
            <v>273590000</v>
          </cell>
          <cell r="I235">
            <v>273590000</v>
          </cell>
        </row>
        <row r="236">
          <cell r="D236">
            <v>119900000</v>
          </cell>
          <cell r="H236">
            <v>100000000</v>
          </cell>
          <cell r="I236">
            <v>19900000</v>
          </cell>
        </row>
        <row r="237">
          <cell r="D237">
            <v>951526400</v>
          </cell>
          <cell r="F237">
            <v>130944000</v>
          </cell>
          <cell r="H237">
            <v>820582400</v>
          </cell>
        </row>
        <row r="238">
          <cell r="D238">
            <v>151074000</v>
          </cell>
          <cell r="H238">
            <v>151074000</v>
          </cell>
        </row>
        <row r="239">
          <cell r="D239">
            <v>906444000</v>
          </cell>
          <cell r="H239">
            <v>906444000</v>
          </cell>
        </row>
        <row r="240">
          <cell r="D240">
            <v>302148000</v>
          </cell>
          <cell r="H240">
            <v>302148000</v>
          </cell>
        </row>
        <row r="241">
          <cell r="D241">
            <v>3128300000</v>
          </cell>
          <cell r="H241">
            <v>3128300000</v>
          </cell>
        </row>
        <row r="242">
          <cell r="D242">
            <v>1907500000</v>
          </cell>
          <cell r="H242">
            <v>1907500000</v>
          </cell>
        </row>
        <row r="243">
          <cell r="D243">
            <v>528650000</v>
          </cell>
          <cell r="H243">
            <v>528650000</v>
          </cell>
        </row>
        <row r="244">
          <cell r="D244">
            <v>81750000</v>
          </cell>
          <cell r="H244">
            <v>81750000</v>
          </cell>
        </row>
        <row r="245">
          <cell r="D245">
            <v>40875000</v>
          </cell>
          <cell r="H245">
            <v>40875000</v>
          </cell>
        </row>
        <row r="246">
          <cell r="D246">
            <v>347437500</v>
          </cell>
          <cell r="F246">
            <v>47812500</v>
          </cell>
          <cell r="H246">
            <v>299625000</v>
          </cell>
        </row>
        <row r="247">
          <cell r="D247">
            <v>272500000</v>
          </cell>
          <cell r="F247">
            <v>37500000</v>
          </cell>
          <cell r="H247">
            <v>235000000</v>
          </cell>
        </row>
        <row r="248">
          <cell r="D248">
            <v>425568018</v>
          </cell>
          <cell r="H248">
            <v>406046550</v>
          </cell>
          <cell r="I248">
            <v>19521468</v>
          </cell>
        </row>
        <row r="249">
          <cell r="D249">
            <v>327000000</v>
          </cell>
          <cell r="F249">
            <v>45000000</v>
          </cell>
          <cell r="H249">
            <v>282000000</v>
          </cell>
        </row>
        <row r="250">
          <cell r="D250">
            <v>176144000</v>
          </cell>
          <cell r="F250">
            <v>17614400</v>
          </cell>
          <cell r="H250">
            <v>158529600</v>
          </cell>
        </row>
        <row r="251">
          <cell r="D251">
            <v>392672500</v>
          </cell>
          <cell r="I251">
            <v>392672500</v>
          </cell>
        </row>
        <row r="252">
          <cell r="D252">
            <v>113796000</v>
          </cell>
          <cell r="I252">
            <v>113796000</v>
          </cell>
        </row>
        <row r="253">
          <cell r="D253">
            <v>1362500000</v>
          </cell>
          <cell r="F253">
            <v>187500000</v>
          </cell>
          <cell r="H253">
            <v>1175000000</v>
          </cell>
        </row>
        <row r="254">
          <cell r="D254">
            <v>523200000</v>
          </cell>
          <cell r="F254">
            <v>72000000</v>
          </cell>
          <cell r="H254">
            <v>451200000</v>
          </cell>
        </row>
        <row r="255">
          <cell r="D255">
            <v>47044400</v>
          </cell>
          <cell r="I255">
            <v>47044400</v>
          </cell>
        </row>
        <row r="256">
          <cell r="D256">
            <v>8981600000</v>
          </cell>
          <cell r="I256">
            <v>8981600000</v>
          </cell>
        </row>
        <row r="257">
          <cell r="D257">
            <v>828127500</v>
          </cell>
          <cell r="I257">
            <v>828127500</v>
          </cell>
        </row>
        <row r="258">
          <cell r="D258">
            <v>629039000</v>
          </cell>
          <cell r="F258">
            <v>86565000</v>
          </cell>
          <cell r="H258">
            <v>542474000</v>
          </cell>
        </row>
        <row r="259">
          <cell r="D259">
            <v>148785000</v>
          </cell>
          <cell r="F259">
            <v>6825000</v>
          </cell>
          <cell r="H259">
            <v>141960000</v>
          </cell>
        </row>
        <row r="260">
          <cell r="D260">
            <v>272500000</v>
          </cell>
          <cell r="I260">
            <v>272500000</v>
          </cell>
        </row>
        <row r="261">
          <cell r="D261">
            <v>256250280</v>
          </cell>
          <cell r="H261">
            <v>256250280</v>
          </cell>
        </row>
        <row r="262">
          <cell r="D262">
            <v>842025000</v>
          </cell>
          <cell r="F262">
            <v>115875000</v>
          </cell>
          <cell r="H262">
            <v>726150000</v>
          </cell>
        </row>
        <row r="263">
          <cell r="D263">
            <v>453930500</v>
          </cell>
          <cell r="I263">
            <v>453930500</v>
          </cell>
        </row>
        <row r="264">
          <cell r="D264">
            <v>24525000</v>
          </cell>
          <cell r="I264">
            <v>24525000</v>
          </cell>
        </row>
        <row r="265">
          <cell r="D265">
            <v>552630000</v>
          </cell>
          <cell r="H265">
            <v>7097</v>
          </cell>
          <cell r="I265">
            <v>552622903</v>
          </cell>
        </row>
        <row r="266">
          <cell r="D266">
            <v>28158297</v>
          </cell>
          <cell r="I266">
            <v>28158297</v>
          </cell>
        </row>
        <row r="267">
          <cell r="D267">
            <v>49050000</v>
          </cell>
          <cell r="H267">
            <v>49050000</v>
          </cell>
        </row>
        <row r="268">
          <cell r="D268">
            <v>70850000</v>
          </cell>
          <cell r="H268">
            <v>41600000</v>
          </cell>
          <cell r="I268">
            <v>29250000</v>
          </cell>
        </row>
        <row r="269">
          <cell r="D269">
            <v>2943000000</v>
          </cell>
          <cell r="H269">
            <v>2943000000</v>
          </cell>
        </row>
        <row r="270">
          <cell r="D270">
            <v>128075000</v>
          </cell>
          <cell r="H270">
            <v>90862750</v>
          </cell>
          <cell r="I270">
            <v>37212250</v>
          </cell>
        </row>
        <row r="271">
          <cell r="D271">
            <v>414472500</v>
          </cell>
          <cell r="I271">
            <v>414472500</v>
          </cell>
        </row>
        <row r="272">
          <cell r="D272">
            <v>21800000</v>
          </cell>
          <cell r="H272">
            <v>21800000</v>
          </cell>
        </row>
        <row r="273">
          <cell r="D273">
            <v>1155400000</v>
          </cell>
          <cell r="H273">
            <v>1155400000</v>
          </cell>
        </row>
        <row r="274">
          <cell r="D274">
            <v>1079100000</v>
          </cell>
          <cell r="H274">
            <v>1079100000</v>
          </cell>
        </row>
        <row r="275">
          <cell r="D275">
            <v>3198060000</v>
          </cell>
          <cell r="H275">
            <v>2611260000</v>
          </cell>
          <cell r="I275">
            <v>586800000</v>
          </cell>
        </row>
        <row r="276">
          <cell r="D276">
            <v>130800000</v>
          </cell>
          <cell r="I276">
            <v>130800000</v>
          </cell>
        </row>
        <row r="277">
          <cell r="D277">
            <v>2298740240</v>
          </cell>
          <cell r="H277">
            <v>2298740240</v>
          </cell>
        </row>
        <row r="278">
          <cell r="D278">
            <v>662175000</v>
          </cell>
          <cell r="H278">
            <v>662175000</v>
          </cell>
        </row>
        <row r="279">
          <cell r="D279">
            <v>16350000</v>
          </cell>
          <cell r="H279">
            <v>16350000</v>
          </cell>
        </row>
        <row r="280">
          <cell r="D280">
            <v>4597480480</v>
          </cell>
          <cell r="I280">
            <v>4597480480</v>
          </cell>
        </row>
        <row r="281">
          <cell r="D281">
            <v>1020240000</v>
          </cell>
          <cell r="I281">
            <v>1020240000</v>
          </cell>
        </row>
        <row r="282">
          <cell r="D282">
            <v>194674000</v>
          </cell>
          <cell r="H282">
            <v>194674000</v>
          </cell>
        </row>
        <row r="283">
          <cell r="D283">
            <v>143701287</v>
          </cell>
          <cell r="H283">
            <v>131836044</v>
          </cell>
          <cell r="I283">
            <v>11865243</v>
          </cell>
        </row>
        <row r="284">
          <cell r="D284">
            <v>23950214</v>
          </cell>
          <cell r="I284">
            <v>23950214</v>
          </cell>
        </row>
        <row r="285">
          <cell r="D285">
            <v>12251600000</v>
          </cell>
          <cell r="H285">
            <v>12251600000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638000000</v>
          </cell>
          <cell r="I2">
            <v>638000000</v>
          </cell>
        </row>
        <row r="3">
          <cell r="D3">
            <v>225500000</v>
          </cell>
          <cell r="H3">
            <v>99056000</v>
          </cell>
          <cell r="I3">
            <v>126444000</v>
          </cell>
        </row>
        <row r="4">
          <cell r="D4">
            <v>715000000</v>
          </cell>
          <cell r="H4">
            <v>715000000</v>
          </cell>
        </row>
        <row r="5">
          <cell r="D5">
            <v>2722500000</v>
          </cell>
          <cell r="I5">
            <v>2722500000</v>
          </cell>
        </row>
        <row r="6">
          <cell r="D6">
            <v>643500000</v>
          </cell>
          <cell r="H6">
            <v>497250000</v>
          </cell>
          <cell r="I6">
            <v>146250000</v>
          </cell>
        </row>
        <row r="7">
          <cell r="D7">
            <v>1131900000</v>
          </cell>
          <cell r="H7">
            <v>1131900000</v>
          </cell>
        </row>
        <row r="8">
          <cell r="D8">
            <v>2420000000</v>
          </cell>
          <cell r="H8">
            <v>2420000000</v>
          </cell>
        </row>
        <row r="9">
          <cell r="D9">
            <v>29172000</v>
          </cell>
          <cell r="H9">
            <v>25194000</v>
          </cell>
          <cell r="I9">
            <v>3978000</v>
          </cell>
        </row>
        <row r="10">
          <cell r="D10">
            <v>762850000</v>
          </cell>
          <cell r="H10">
            <v>647243550</v>
          </cell>
          <cell r="I10">
            <v>115606450</v>
          </cell>
        </row>
        <row r="11">
          <cell r="D11">
            <v>175312500</v>
          </cell>
          <cell r="H11">
            <v>175312500</v>
          </cell>
        </row>
        <row r="12">
          <cell r="D12">
            <v>412500000</v>
          </cell>
          <cell r="I12">
            <v>412500000</v>
          </cell>
        </row>
        <row r="13">
          <cell r="D13">
            <v>310200000</v>
          </cell>
          <cell r="H13">
            <v>310200000</v>
          </cell>
        </row>
        <row r="14">
          <cell r="D14">
            <v>392920000</v>
          </cell>
          <cell r="H14">
            <v>392920000</v>
          </cell>
        </row>
        <row r="15">
          <cell r="D15">
            <v>495000000</v>
          </cell>
          <cell r="H15">
            <v>495000000</v>
          </cell>
        </row>
        <row r="16">
          <cell r="D16">
            <v>754600000</v>
          </cell>
          <cell r="H16">
            <v>754600000</v>
          </cell>
        </row>
        <row r="17">
          <cell r="D17">
            <v>357500000</v>
          </cell>
          <cell r="H17">
            <v>308750000</v>
          </cell>
          <cell r="I17">
            <v>48750000</v>
          </cell>
        </row>
        <row r="18">
          <cell r="D18">
            <v>149875000</v>
          </cell>
          <cell r="H18">
            <v>143062500</v>
          </cell>
          <cell r="I18">
            <v>6812500</v>
          </cell>
        </row>
        <row r="19">
          <cell r="D19">
            <v>9532809000</v>
          </cell>
          <cell r="H19">
            <v>9532809000</v>
          </cell>
        </row>
        <row r="20">
          <cell r="D20">
            <v>76312500</v>
          </cell>
          <cell r="H20">
            <v>65906250</v>
          </cell>
          <cell r="I20">
            <v>10406250</v>
          </cell>
        </row>
        <row r="21">
          <cell r="D21">
            <v>278190000</v>
          </cell>
          <cell r="H21">
            <v>190255000</v>
          </cell>
          <cell r="I21">
            <v>87935000</v>
          </cell>
        </row>
        <row r="22">
          <cell r="D22">
            <v>495000000</v>
          </cell>
          <cell r="H22">
            <v>495000000</v>
          </cell>
        </row>
        <row r="23">
          <cell r="D23">
            <v>341000000</v>
          </cell>
          <cell r="H23">
            <v>341000000</v>
          </cell>
        </row>
        <row r="24">
          <cell r="D24">
            <v>248160000</v>
          </cell>
          <cell r="H24">
            <v>248160000</v>
          </cell>
        </row>
        <row r="25">
          <cell r="D25">
            <v>751300000</v>
          </cell>
          <cell r="H25">
            <v>751300000</v>
          </cell>
        </row>
        <row r="26">
          <cell r="D26">
            <v>127875000</v>
          </cell>
          <cell r="H26">
            <v>127875000</v>
          </cell>
        </row>
        <row r="27">
          <cell r="D27">
            <v>577500000</v>
          </cell>
          <cell r="H27">
            <v>577500000</v>
          </cell>
        </row>
        <row r="28">
          <cell r="D28">
            <v>22000000</v>
          </cell>
          <cell r="I28">
            <v>22000000</v>
          </cell>
        </row>
        <row r="29">
          <cell r="D29">
            <v>363000000</v>
          </cell>
          <cell r="H29">
            <v>363000000</v>
          </cell>
        </row>
        <row r="30">
          <cell r="D30">
            <v>110550000</v>
          </cell>
          <cell r="I30">
            <v>110550000</v>
          </cell>
        </row>
        <row r="31">
          <cell r="D31">
            <v>247500000</v>
          </cell>
          <cell r="H31">
            <v>247500000</v>
          </cell>
        </row>
        <row r="32">
          <cell r="D32">
            <v>94952000</v>
          </cell>
          <cell r="I32">
            <v>94952000</v>
          </cell>
        </row>
        <row r="33">
          <cell r="D33">
            <v>44000000</v>
          </cell>
          <cell r="I33">
            <v>44000000</v>
          </cell>
        </row>
        <row r="34">
          <cell r="D34">
            <v>550000000</v>
          </cell>
          <cell r="H34">
            <v>156666666</v>
          </cell>
          <cell r="I34">
            <v>393333334</v>
          </cell>
        </row>
        <row r="35">
          <cell r="D35">
            <v>261250000</v>
          </cell>
          <cell r="I35">
            <v>261250000</v>
          </cell>
        </row>
        <row r="36">
          <cell r="D36">
            <v>266016740</v>
          </cell>
          <cell r="H36">
            <v>229741730</v>
          </cell>
          <cell r="I36">
            <v>36275010</v>
          </cell>
        </row>
        <row r="37">
          <cell r="D37">
            <v>825000000</v>
          </cell>
          <cell r="H37">
            <v>712500000</v>
          </cell>
          <cell r="I37">
            <v>112500000</v>
          </cell>
        </row>
        <row r="38">
          <cell r="D38">
            <v>110000000</v>
          </cell>
          <cell r="I38">
            <v>110000000</v>
          </cell>
        </row>
        <row r="39">
          <cell r="D39">
            <v>610500000</v>
          </cell>
          <cell r="H39">
            <v>610500000</v>
          </cell>
        </row>
        <row r="40">
          <cell r="D40">
            <v>715000000</v>
          </cell>
          <cell r="H40">
            <v>715000000</v>
          </cell>
        </row>
        <row r="41">
          <cell r="D41">
            <v>484000000</v>
          </cell>
          <cell r="H41">
            <v>484000000</v>
          </cell>
        </row>
        <row r="42">
          <cell r="D42">
            <v>1595000000</v>
          </cell>
          <cell r="H42">
            <v>1595000000</v>
          </cell>
        </row>
        <row r="43">
          <cell r="D43">
            <v>300300000</v>
          </cell>
          <cell r="H43">
            <v>259350000</v>
          </cell>
          <cell r="I43">
            <v>40950000</v>
          </cell>
        </row>
        <row r="44">
          <cell r="D44">
            <v>1056000000</v>
          </cell>
          <cell r="H44">
            <v>1056000000</v>
          </cell>
        </row>
        <row r="45">
          <cell r="D45">
            <v>6600000000</v>
          </cell>
          <cell r="H45">
            <v>6600000000</v>
          </cell>
        </row>
        <row r="46">
          <cell r="D46">
            <v>330000000</v>
          </cell>
          <cell r="I46">
            <v>330000000</v>
          </cell>
        </row>
        <row r="47">
          <cell r="D47">
            <v>350625000</v>
          </cell>
          <cell r="I47">
            <v>350625000</v>
          </cell>
        </row>
        <row r="48">
          <cell r="D48">
            <v>565877812</v>
          </cell>
          <cell r="I48">
            <v>565877812</v>
          </cell>
        </row>
        <row r="49">
          <cell r="D49">
            <v>300190000</v>
          </cell>
          <cell r="H49">
            <v>300190000</v>
          </cell>
        </row>
        <row r="50">
          <cell r="D50">
            <v>396275000</v>
          </cell>
          <cell r="I50">
            <v>396275000</v>
          </cell>
        </row>
        <row r="51">
          <cell r="D51">
            <v>429472312</v>
          </cell>
          <cell r="H51">
            <v>100000000</v>
          </cell>
          <cell r="I51">
            <v>329472312</v>
          </cell>
        </row>
        <row r="52">
          <cell r="D52">
            <v>705375000</v>
          </cell>
          <cell r="H52">
            <v>705375000</v>
          </cell>
        </row>
        <row r="53">
          <cell r="D53">
            <v>1274625000</v>
          </cell>
          <cell r="H53">
            <v>1100812500</v>
          </cell>
          <cell r="I53">
            <v>173812500</v>
          </cell>
        </row>
        <row r="54">
          <cell r="D54">
            <v>385000000</v>
          </cell>
          <cell r="I54">
            <v>385000000</v>
          </cell>
        </row>
        <row r="55">
          <cell r="D55">
            <v>178750000</v>
          </cell>
          <cell r="I55">
            <v>178750000</v>
          </cell>
        </row>
        <row r="56">
          <cell r="D56">
            <v>77000000</v>
          </cell>
          <cell r="H56">
            <v>77000000</v>
          </cell>
        </row>
        <row r="57">
          <cell r="D57">
            <v>1193500000</v>
          </cell>
          <cell r="H57">
            <v>1193500000</v>
          </cell>
        </row>
        <row r="58">
          <cell r="D58">
            <v>385000000</v>
          </cell>
          <cell r="I58">
            <v>385000000</v>
          </cell>
        </row>
        <row r="59">
          <cell r="D59">
            <v>1829520000</v>
          </cell>
          <cell r="H59">
            <v>666573000</v>
          </cell>
          <cell r="I59">
            <v>1162947000</v>
          </cell>
        </row>
        <row r="60">
          <cell r="D60">
            <v>409200000</v>
          </cell>
          <cell r="H60">
            <v>409200000</v>
          </cell>
        </row>
        <row r="61">
          <cell r="D61">
            <v>627000000</v>
          </cell>
          <cell r="H61">
            <v>627000000</v>
          </cell>
        </row>
        <row r="62">
          <cell r="D62">
            <v>259875000</v>
          </cell>
          <cell r="H62">
            <v>224437500</v>
          </cell>
          <cell r="I62">
            <v>35437500</v>
          </cell>
        </row>
        <row r="63">
          <cell r="D63">
            <v>83457000</v>
          </cell>
          <cell r="I63">
            <v>83457000</v>
          </cell>
        </row>
        <row r="64">
          <cell r="D64">
            <v>437800000</v>
          </cell>
          <cell r="I64">
            <v>437800000</v>
          </cell>
        </row>
        <row r="65">
          <cell r="D65">
            <v>577500000</v>
          </cell>
          <cell r="H65">
            <v>577500000</v>
          </cell>
        </row>
        <row r="66">
          <cell r="D66">
            <v>11515860180</v>
          </cell>
          <cell r="I66">
            <v>11515860180</v>
          </cell>
        </row>
        <row r="67">
          <cell r="D67">
            <v>577500000</v>
          </cell>
          <cell r="H67">
            <v>577500000</v>
          </cell>
        </row>
        <row r="68">
          <cell r="D68">
            <v>632500000</v>
          </cell>
          <cell r="H68">
            <v>632500000</v>
          </cell>
        </row>
        <row r="69">
          <cell r="D69">
            <v>134750000</v>
          </cell>
          <cell r="H69">
            <v>134750000</v>
          </cell>
        </row>
        <row r="70">
          <cell r="D70">
            <v>636432500</v>
          </cell>
          <cell r="I70">
            <v>636432500</v>
          </cell>
        </row>
        <row r="71">
          <cell r="D71">
            <v>687500000</v>
          </cell>
          <cell r="H71">
            <v>687500000</v>
          </cell>
        </row>
        <row r="72">
          <cell r="D72">
            <v>148500000</v>
          </cell>
          <cell r="I72">
            <v>148500000</v>
          </cell>
        </row>
        <row r="73">
          <cell r="D73">
            <v>437690000</v>
          </cell>
          <cell r="I73">
            <v>437690000</v>
          </cell>
        </row>
        <row r="74">
          <cell r="D74">
            <v>907500000</v>
          </cell>
          <cell r="H74">
            <v>907500000</v>
          </cell>
        </row>
        <row r="75">
          <cell r="D75">
            <v>401500000</v>
          </cell>
          <cell r="I75">
            <v>401500000</v>
          </cell>
        </row>
        <row r="76">
          <cell r="D76">
            <v>321750000</v>
          </cell>
          <cell r="H76">
            <v>248625000</v>
          </cell>
          <cell r="I76">
            <v>73125000</v>
          </cell>
        </row>
        <row r="77">
          <cell r="D77">
            <v>49291000</v>
          </cell>
          <cell r="I77">
            <v>49291000</v>
          </cell>
        </row>
        <row r="78">
          <cell r="D78">
            <v>66440000</v>
          </cell>
          <cell r="I78">
            <v>66440000</v>
          </cell>
        </row>
        <row r="79">
          <cell r="D79">
            <v>149875000</v>
          </cell>
          <cell r="I79">
            <v>149875000</v>
          </cell>
        </row>
        <row r="80">
          <cell r="D80">
            <v>2200000000</v>
          </cell>
          <cell r="H80">
            <v>1900000000</v>
          </cell>
          <cell r="I80">
            <v>300000000</v>
          </cell>
        </row>
        <row r="81">
          <cell r="D81">
            <v>76450000</v>
          </cell>
          <cell r="H81">
            <v>6950000</v>
          </cell>
          <cell r="I81">
            <v>69500000</v>
          </cell>
        </row>
        <row r="82">
          <cell r="D82">
            <v>429472312</v>
          </cell>
          <cell r="I82">
            <v>429472312</v>
          </cell>
        </row>
        <row r="83">
          <cell r="D83">
            <v>476520000</v>
          </cell>
          <cell r="I83">
            <v>476520000</v>
          </cell>
        </row>
        <row r="84">
          <cell r="D84">
            <v>602800000</v>
          </cell>
          <cell r="H84">
            <v>602800000</v>
          </cell>
        </row>
        <row r="85">
          <cell r="D85">
            <v>715000000</v>
          </cell>
          <cell r="I85">
            <v>715000000</v>
          </cell>
        </row>
        <row r="86">
          <cell r="D86">
            <v>755700000</v>
          </cell>
          <cell r="I86">
            <v>755700000</v>
          </cell>
        </row>
        <row r="87">
          <cell r="D87">
            <v>1133000000</v>
          </cell>
          <cell r="I87">
            <v>1133000000</v>
          </cell>
        </row>
        <row r="88">
          <cell r="D88">
            <v>907500000</v>
          </cell>
          <cell r="H88">
            <v>907500000</v>
          </cell>
        </row>
        <row r="89">
          <cell r="D89">
            <v>124300000</v>
          </cell>
          <cell r="H89">
            <v>124300000</v>
          </cell>
        </row>
        <row r="90">
          <cell r="D90">
            <v>198000000</v>
          </cell>
          <cell r="H90">
            <v>198000000</v>
          </cell>
        </row>
        <row r="91">
          <cell r="D91">
            <v>638000000</v>
          </cell>
          <cell r="H91">
            <v>638000000</v>
          </cell>
        </row>
        <row r="92">
          <cell r="D92">
            <v>228690000</v>
          </cell>
          <cell r="I92">
            <v>228690000</v>
          </cell>
        </row>
        <row r="93">
          <cell r="D93">
            <v>528000000</v>
          </cell>
          <cell r="I93">
            <v>528000000</v>
          </cell>
        </row>
        <row r="94">
          <cell r="D94">
            <v>11000000</v>
          </cell>
          <cell r="I94">
            <v>11000000</v>
          </cell>
        </row>
        <row r="95">
          <cell r="D95">
            <v>33000000</v>
          </cell>
          <cell r="I95">
            <v>33000000</v>
          </cell>
        </row>
        <row r="96">
          <cell r="D96">
            <v>127875000</v>
          </cell>
          <cell r="I96">
            <v>127875000</v>
          </cell>
        </row>
        <row r="97">
          <cell r="D97">
            <v>1082620000</v>
          </cell>
          <cell r="H97">
            <v>440000000</v>
          </cell>
          <cell r="I97">
            <v>642620000</v>
          </cell>
        </row>
        <row r="98">
          <cell r="D98">
            <v>381425000</v>
          </cell>
          <cell r="H98">
            <v>323621775</v>
          </cell>
          <cell r="I98">
            <v>57803225</v>
          </cell>
        </row>
        <row r="99">
          <cell r="D99">
            <v>103125000</v>
          </cell>
          <cell r="I99">
            <v>103125000</v>
          </cell>
        </row>
        <row r="100">
          <cell r="D100">
            <v>1091200000</v>
          </cell>
          <cell r="I100">
            <v>1091200000</v>
          </cell>
        </row>
        <row r="101">
          <cell r="D101">
            <v>792000000</v>
          </cell>
          <cell r="H101">
            <v>792000000</v>
          </cell>
        </row>
        <row r="102">
          <cell r="D102">
            <v>199512500</v>
          </cell>
          <cell r="I102">
            <v>199512500</v>
          </cell>
        </row>
        <row r="103">
          <cell r="D103">
            <v>797500000</v>
          </cell>
          <cell r="I103">
            <v>797500000</v>
          </cell>
        </row>
        <row r="104">
          <cell r="D104">
            <v>385000000</v>
          </cell>
          <cell r="H104">
            <v>385000000</v>
          </cell>
        </row>
        <row r="105">
          <cell r="D105">
            <v>550000000</v>
          </cell>
          <cell r="I105">
            <v>550000000</v>
          </cell>
        </row>
        <row r="106">
          <cell r="D106">
            <v>1034000000</v>
          </cell>
          <cell r="I106">
            <v>1034000000</v>
          </cell>
        </row>
        <row r="107">
          <cell r="D107">
            <v>528000000</v>
          </cell>
          <cell r="I107">
            <v>528000000</v>
          </cell>
        </row>
        <row r="108">
          <cell r="D108">
            <v>247500000</v>
          </cell>
          <cell r="I108">
            <v>247500000</v>
          </cell>
        </row>
        <row r="109">
          <cell r="D109">
            <v>55000000</v>
          </cell>
          <cell r="I109">
            <v>55000000</v>
          </cell>
        </row>
        <row r="110">
          <cell r="D110">
            <v>561000000</v>
          </cell>
          <cell r="I110">
            <v>561000000</v>
          </cell>
        </row>
        <row r="111">
          <cell r="D111">
            <v>437800000</v>
          </cell>
          <cell r="I111">
            <v>437800000</v>
          </cell>
        </row>
        <row r="112">
          <cell r="D112">
            <v>939675000</v>
          </cell>
          <cell r="I112">
            <v>939675000</v>
          </cell>
        </row>
        <row r="113">
          <cell r="D113">
            <v>1210000000</v>
          </cell>
          <cell r="H113">
            <v>1210000000</v>
          </cell>
        </row>
        <row r="114">
          <cell r="D114">
            <v>341000000</v>
          </cell>
          <cell r="I114">
            <v>341000000</v>
          </cell>
        </row>
        <row r="115">
          <cell r="D115">
            <v>465300000</v>
          </cell>
          <cell r="I115">
            <v>465300000</v>
          </cell>
        </row>
        <row r="116">
          <cell r="D116">
            <v>1540000000</v>
          </cell>
          <cell r="I116">
            <v>1540000000</v>
          </cell>
        </row>
        <row r="117">
          <cell r="D117">
            <v>898700000</v>
          </cell>
          <cell r="H117">
            <v>898700000</v>
          </cell>
        </row>
        <row r="118">
          <cell r="D118">
            <v>1115400000</v>
          </cell>
          <cell r="I118">
            <v>1115400000</v>
          </cell>
        </row>
        <row r="119">
          <cell r="D119">
            <v>577500000</v>
          </cell>
          <cell r="I119">
            <v>577500000</v>
          </cell>
        </row>
        <row r="120">
          <cell r="D120">
            <v>558800000</v>
          </cell>
          <cell r="I120">
            <v>558800000</v>
          </cell>
        </row>
        <row r="121">
          <cell r="D121">
            <v>440000000</v>
          </cell>
          <cell r="I121">
            <v>440000000</v>
          </cell>
        </row>
        <row r="122">
          <cell r="D122">
            <v>121000000</v>
          </cell>
          <cell r="I122">
            <v>121000000</v>
          </cell>
        </row>
        <row r="123">
          <cell r="D123">
            <v>407550000</v>
          </cell>
          <cell r="I123">
            <v>407550000</v>
          </cell>
        </row>
        <row r="124">
          <cell r="D124">
            <v>1319312500</v>
          </cell>
          <cell r="H124">
            <v>1319312500</v>
          </cell>
        </row>
        <row r="125">
          <cell r="D125">
            <v>412500000</v>
          </cell>
          <cell r="I125">
            <v>412500000</v>
          </cell>
        </row>
        <row r="126">
          <cell r="D126">
            <v>1237500000</v>
          </cell>
          <cell r="I126">
            <v>1237500000</v>
          </cell>
        </row>
        <row r="127">
          <cell r="D127">
            <v>247500000</v>
          </cell>
          <cell r="I127">
            <v>247500000</v>
          </cell>
        </row>
        <row r="128">
          <cell r="D128">
            <v>402325000</v>
          </cell>
          <cell r="I128">
            <v>402325000</v>
          </cell>
        </row>
        <row r="129">
          <cell r="D129">
            <v>2309560000</v>
          </cell>
          <cell r="I129">
            <v>2309560000</v>
          </cell>
        </row>
        <row r="130">
          <cell r="D130">
            <v>172260000</v>
          </cell>
          <cell r="I130">
            <v>172260000</v>
          </cell>
        </row>
        <row r="131">
          <cell r="D131">
            <v>257400000</v>
          </cell>
          <cell r="I131">
            <v>257400000</v>
          </cell>
        </row>
        <row r="132">
          <cell r="D132">
            <v>393250000</v>
          </cell>
          <cell r="I132">
            <v>393250000</v>
          </cell>
        </row>
        <row r="133">
          <cell r="D133">
            <v>330000000</v>
          </cell>
          <cell r="I133">
            <v>330000000</v>
          </cell>
        </row>
        <row r="134">
          <cell r="D134">
            <v>1375000000</v>
          </cell>
          <cell r="I134">
            <v>1375000000</v>
          </cell>
        </row>
        <row r="135">
          <cell r="D135">
            <v>1274625000</v>
          </cell>
          <cell r="I135">
            <v>1274625000</v>
          </cell>
        </row>
        <row r="136">
          <cell r="D136">
            <v>429472312</v>
          </cell>
          <cell r="I136">
            <v>429472312</v>
          </cell>
        </row>
        <row r="137">
          <cell r="D137">
            <v>7800000010</v>
          </cell>
          <cell r="I137">
            <v>7800000010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4045971000</v>
          </cell>
          <cell r="H2">
            <v>334071000</v>
          </cell>
          <cell r="I2">
            <v>3711900000</v>
          </cell>
        </row>
        <row r="3">
          <cell r="D3">
            <v>1365850504</v>
          </cell>
          <cell r="I3">
            <v>1365850504</v>
          </cell>
        </row>
        <row r="4">
          <cell r="D4">
            <v>970100000</v>
          </cell>
          <cell r="F4">
            <v>148363000</v>
          </cell>
          <cell r="H4">
            <v>821737000</v>
          </cell>
        </row>
        <row r="5">
          <cell r="D5">
            <v>889440000</v>
          </cell>
          <cell r="H5">
            <v>889440000</v>
          </cell>
        </row>
        <row r="6">
          <cell r="D6">
            <v>926500000</v>
          </cell>
          <cell r="H6">
            <v>821737000</v>
          </cell>
          <cell r="I6">
            <v>104763000</v>
          </cell>
        </row>
        <row r="7">
          <cell r="D7">
            <v>392400000</v>
          </cell>
          <cell r="H7">
            <v>327000000</v>
          </cell>
          <cell r="I7">
            <v>65400000</v>
          </cell>
        </row>
        <row r="8">
          <cell r="D8">
            <v>588600000</v>
          </cell>
          <cell r="H8">
            <v>588600000</v>
          </cell>
        </row>
        <row r="9">
          <cell r="D9">
            <v>1337534640</v>
          </cell>
          <cell r="I9">
            <v>1337534640</v>
          </cell>
        </row>
        <row r="10">
          <cell r="D10">
            <v>370600000</v>
          </cell>
          <cell r="F10">
            <v>51000000</v>
          </cell>
          <cell r="H10">
            <v>319600000</v>
          </cell>
        </row>
        <row r="11">
          <cell r="D11">
            <v>327000000</v>
          </cell>
          <cell r="H11">
            <v>327000000</v>
          </cell>
        </row>
        <row r="12">
          <cell r="D12">
            <v>686700000</v>
          </cell>
          <cell r="H12">
            <v>686700000</v>
          </cell>
        </row>
        <row r="13">
          <cell r="D13">
            <v>1131910500</v>
          </cell>
          <cell r="H13">
            <v>976143000</v>
          </cell>
          <cell r="I13">
            <v>155767500</v>
          </cell>
        </row>
        <row r="14">
          <cell r="D14">
            <v>1035500000</v>
          </cell>
          <cell r="E14">
            <v>1035500000</v>
          </cell>
        </row>
        <row r="15">
          <cell r="D15">
            <v>3052000000</v>
          </cell>
          <cell r="I15">
            <v>3052000000</v>
          </cell>
        </row>
        <row r="16">
          <cell r="D16">
            <v>893103081</v>
          </cell>
          <cell r="H16">
            <v>893103081</v>
          </cell>
        </row>
        <row r="17">
          <cell r="D17">
            <v>3106445500</v>
          </cell>
          <cell r="H17">
            <v>3106445500</v>
          </cell>
        </row>
        <row r="18">
          <cell r="D18">
            <v>1111800000</v>
          </cell>
          <cell r="I18">
            <v>1111800000</v>
          </cell>
        </row>
        <row r="19">
          <cell r="D19">
            <v>190750000</v>
          </cell>
          <cell r="I19">
            <v>190750000</v>
          </cell>
        </row>
        <row r="20">
          <cell r="D20">
            <v>414200000</v>
          </cell>
          <cell r="H20">
            <v>414200000</v>
          </cell>
        </row>
        <row r="21">
          <cell r="D21">
            <v>424010000</v>
          </cell>
          <cell r="F21">
            <v>19450000</v>
          </cell>
          <cell r="H21">
            <v>404560000</v>
          </cell>
        </row>
        <row r="22">
          <cell r="D22">
            <v>700959672</v>
          </cell>
          <cell r="F22">
            <v>96462342</v>
          </cell>
          <cell r="I22">
            <v>604497330</v>
          </cell>
        </row>
        <row r="23">
          <cell r="D23">
            <v>1318349744</v>
          </cell>
          <cell r="F23">
            <v>181424277</v>
          </cell>
          <cell r="H23">
            <v>1041222808</v>
          </cell>
          <cell r="I23">
            <v>95702659</v>
          </cell>
        </row>
        <row r="24">
          <cell r="D24">
            <v>708500000</v>
          </cell>
          <cell r="F24">
            <v>108355000</v>
          </cell>
          <cell r="H24">
            <v>600145000</v>
          </cell>
        </row>
        <row r="25">
          <cell r="D25">
            <v>436000000</v>
          </cell>
          <cell r="I25">
            <v>436000000</v>
          </cell>
        </row>
        <row r="26">
          <cell r="D26">
            <v>658905000</v>
          </cell>
          <cell r="H26">
            <v>658905000</v>
          </cell>
        </row>
        <row r="27">
          <cell r="D27">
            <v>327000000</v>
          </cell>
          <cell r="F27">
            <v>50010000</v>
          </cell>
          <cell r="H27">
            <v>276990000</v>
          </cell>
        </row>
        <row r="28">
          <cell r="D28">
            <v>3106445500</v>
          </cell>
          <cell r="H28">
            <v>3106445500</v>
          </cell>
        </row>
        <row r="29">
          <cell r="D29">
            <v>1962000000</v>
          </cell>
          <cell r="F29">
            <v>300060000</v>
          </cell>
          <cell r="H29">
            <v>1661940000</v>
          </cell>
        </row>
        <row r="30">
          <cell r="D30">
            <v>1635000000</v>
          </cell>
          <cell r="F30">
            <v>250050000</v>
          </cell>
          <cell r="H30">
            <v>1384950000</v>
          </cell>
        </row>
        <row r="31">
          <cell r="D31">
            <v>1062750000</v>
          </cell>
          <cell r="F31">
            <v>162532500</v>
          </cell>
          <cell r="H31">
            <v>900217500</v>
          </cell>
        </row>
        <row r="32">
          <cell r="D32">
            <v>555900000</v>
          </cell>
          <cell r="F32">
            <v>76500000</v>
          </cell>
          <cell r="H32">
            <v>479400000</v>
          </cell>
        </row>
        <row r="33">
          <cell r="D33">
            <v>5493600000</v>
          </cell>
          <cell r="F33">
            <v>252000000</v>
          </cell>
          <cell r="H33">
            <v>5241600000</v>
          </cell>
        </row>
        <row r="34">
          <cell r="D34">
            <v>566800000</v>
          </cell>
          <cell r="I34">
            <v>566800000</v>
          </cell>
        </row>
        <row r="35">
          <cell r="D35">
            <v>359700000</v>
          </cell>
          <cell r="H35">
            <v>359700000</v>
          </cell>
        </row>
        <row r="36">
          <cell r="D36">
            <v>654000000</v>
          </cell>
          <cell r="F36">
            <v>46680000</v>
          </cell>
          <cell r="H36">
            <v>607320000</v>
          </cell>
        </row>
        <row r="37">
          <cell r="D37">
            <v>1131910500</v>
          </cell>
          <cell r="I37">
            <v>1131910500</v>
          </cell>
        </row>
        <row r="38">
          <cell r="D38">
            <v>333507300</v>
          </cell>
          <cell r="I38">
            <v>333507300</v>
          </cell>
        </row>
        <row r="39">
          <cell r="D39">
            <v>1961193400</v>
          </cell>
          <cell r="I39">
            <v>1961193400</v>
          </cell>
        </row>
        <row r="40">
          <cell r="D40">
            <v>1526000000</v>
          </cell>
          <cell r="I40">
            <v>1526000000</v>
          </cell>
        </row>
        <row r="41">
          <cell r="D41">
            <v>1435530000</v>
          </cell>
          <cell r="F41">
            <v>197550000</v>
          </cell>
          <cell r="H41">
            <v>1237980000</v>
          </cell>
        </row>
        <row r="42">
          <cell r="D42">
            <v>571705000</v>
          </cell>
          <cell r="F42">
            <v>78675000</v>
          </cell>
          <cell r="H42">
            <v>493030000</v>
          </cell>
        </row>
        <row r="43">
          <cell r="D43">
            <v>1351600000</v>
          </cell>
          <cell r="F43">
            <v>186000000</v>
          </cell>
          <cell r="H43">
            <v>1165600000</v>
          </cell>
        </row>
        <row r="44">
          <cell r="D44">
            <v>370600000</v>
          </cell>
          <cell r="F44">
            <v>51000000</v>
          </cell>
          <cell r="H44">
            <v>319600000</v>
          </cell>
        </row>
        <row r="45">
          <cell r="D45">
            <v>3106445500</v>
          </cell>
          <cell r="H45">
            <v>3106445500</v>
          </cell>
        </row>
        <row r="46">
          <cell r="D46">
            <v>803439000</v>
          </cell>
          <cell r="F46">
            <v>110565000</v>
          </cell>
          <cell r="H46">
            <v>692874000</v>
          </cell>
        </row>
        <row r="47">
          <cell r="D47">
            <v>381500000</v>
          </cell>
          <cell r="F47">
            <v>52500000</v>
          </cell>
          <cell r="H47">
            <v>329000000</v>
          </cell>
        </row>
        <row r="48">
          <cell r="D48">
            <v>21524843125</v>
          </cell>
          <cell r="H48">
            <v>9237000000</v>
          </cell>
          <cell r="I48">
            <v>12287843125</v>
          </cell>
        </row>
        <row r="49">
          <cell r="D49">
            <v>763000000</v>
          </cell>
          <cell r="H49">
            <v>763000000</v>
          </cell>
        </row>
        <row r="50">
          <cell r="D50">
            <v>806600000</v>
          </cell>
          <cell r="I50">
            <v>806600000</v>
          </cell>
        </row>
        <row r="51">
          <cell r="D51">
            <v>1427900000</v>
          </cell>
          <cell r="H51">
            <v>1427900000</v>
          </cell>
        </row>
        <row r="52">
          <cell r="D52">
            <v>179850000</v>
          </cell>
          <cell r="I52">
            <v>179850000</v>
          </cell>
        </row>
        <row r="53">
          <cell r="D53">
            <v>305200000</v>
          </cell>
          <cell r="F53">
            <v>21784000</v>
          </cell>
          <cell r="H53">
            <v>283416000</v>
          </cell>
        </row>
        <row r="54">
          <cell r="D54">
            <v>1095450000</v>
          </cell>
          <cell r="I54">
            <v>1095450000</v>
          </cell>
        </row>
        <row r="55">
          <cell r="D55">
            <v>1133600000</v>
          </cell>
          <cell r="I55">
            <v>1133600000</v>
          </cell>
        </row>
        <row r="56">
          <cell r="D56">
            <v>763000000</v>
          </cell>
          <cell r="H56">
            <v>763000000</v>
          </cell>
        </row>
        <row r="57">
          <cell r="D57">
            <v>511755000</v>
          </cell>
          <cell r="F57">
            <v>70425000</v>
          </cell>
          <cell r="H57">
            <v>441330000</v>
          </cell>
        </row>
        <row r="58">
          <cell r="D58">
            <v>1689500000</v>
          </cell>
          <cell r="F58">
            <v>232500000</v>
          </cell>
          <cell r="H58">
            <v>1457000000</v>
          </cell>
        </row>
        <row r="59">
          <cell r="D59">
            <v>2043750000</v>
          </cell>
          <cell r="I59">
            <v>2043750000</v>
          </cell>
        </row>
        <row r="60">
          <cell r="D60">
            <v>566800000</v>
          </cell>
          <cell r="F60">
            <v>78000000</v>
          </cell>
          <cell r="H60">
            <v>488800000</v>
          </cell>
        </row>
        <row r="61">
          <cell r="D61">
            <v>1325440000</v>
          </cell>
          <cell r="F61">
            <v>60800000</v>
          </cell>
          <cell r="H61">
            <v>1264640000</v>
          </cell>
        </row>
        <row r="62">
          <cell r="D62">
            <v>926500000</v>
          </cell>
          <cell r="I62">
            <v>926500000</v>
          </cell>
        </row>
        <row r="63">
          <cell r="D63">
            <v>267813000</v>
          </cell>
          <cell r="H63">
            <v>22113000</v>
          </cell>
          <cell r="I63">
            <v>245700000</v>
          </cell>
        </row>
        <row r="64">
          <cell r="D64">
            <v>539550000</v>
          </cell>
          <cell r="I64">
            <v>539550000</v>
          </cell>
        </row>
        <row r="65">
          <cell r="D65">
            <v>4337306200</v>
          </cell>
          <cell r="H65">
            <v>3740429200</v>
          </cell>
          <cell r="I65">
            <v>596877000</v>
          </cell>
        </row>
        <row r="66">
          <cell r="D66">
            <v>2223600000</v>
          </cell>
          <cell r="F66">
            <v>340068000</v>
          </cell>
          <cell r="H66">
            <v>1883532000</v>
          </cell>
        </row>
        <row r="67">
          <cell r="D67">
            <v>730300000</v>
          </cell>
          <cell r="I67">
            <v>730300000</v>
          </cell>
        </row>
        <row r="68">
          <cell r="D68">
            <v>741200000</v>
          </cell>
          <cell r="I68">
            <v>741200000</v>
          </cell>
        </row>
        <row r="69">
          <cell r="D69">
            <v>608765000</v>
          </cell>
          <cell r="I69">
            <v>608765000</v>
          </cell>
        </row>
        <row r="70">
          <cell r="D70">
            <v>1182650000</v>
          </cell>
          <cell r="I70">
            <v>1182650000</v>
          </cell>
        </row>
        <row r="71">
          <cell r="D71">
            <v>479600000</v>
          </cell>
          <cell r="F71">
            <v>73348000</v>
          </cell>
          <cell r="H71">
            <v>406252000</v>
          </cell>
        </row>
        <row r="72">
          <cell r="D72">
            <v>850200000</v>
          </cell>
          <cell r="F72">
            <v>60684000</v>
          </cell>
          <cell r="H72">
            <v>789516000</v>
          </cell>
        </row>
        <row r="73">
          <cell r="D73">
            <v>305200000</v>
          </cell>
          <cell r="I73">
            <v>305200000</v>
          </cell>
        </row>
        <row r="74">
          <cell r="D74">
            <v>523200000</v>
          </cell>
          <cell r="I74">
            <v>523200000</v>
          </cell>
        </row>
        <row r="75">
          <cell r="D75">
            <v>654000000</v>
          </cell>
          <cell r="I75">
            <v>654000000</v>
          </cell>
        </row>
        <row r="76">
          <cell r="D76">
            <v>1133600000</v>
          </cell>
          <cell r="I76">
            <v>1133600000</v>
          </cell>
        </row>
        <row r="77">
          <cell r="D77">
            <v>987021132</v>
          </cell>
          <cell r="I77">
            <v>987021132</v>
          </cell>
        </row>
        <row r="78">
          <cell r="D78">
            <v>3948084531</v>
          </cell>
          <cell r="I78">
            <v>3948084531</v>
          </cell>
        </row>
        <row r="79">
          <cell r="D79">
            <v>13897500000</v>
          </cell>
          <cell r="F79">
            <v>1912500000</v>
          </cell>
          <cell r="H79">
            <v>11985000000</v>
          </cell>
        </row>
        <row r="80">
          <cell r="D80">
            <v>113905000</v>
          </cell>
          <cell r="I80">
            <v>113905000</v>
          </cell>
        </row>
        <row r="81">
          <cell r="D81">
            <v>3948084531</v>
          </cell>
          <cell r="H81">
            <v>3404770146</v>
          </cell>
          <cell r="I81">
            <v>543314385</v>
          </cell>
        </row>
        <row r="82">
          <cell r="D82">
            <v>2943000000</v>
          </cell>
          <cell r="F82">
            <v>135000000</v>
          </cell>
          <cell r="H82">
            <v>2808000000</v>
          </cell>
        </row>
        <row r="83">
          <cell r="D83">
            <v>283400000</v>
          </cell>
          <cell r="F83">
            <v>39000000</v>
          </cell>
          <cell r="H83">
            <v>244400000</v>
          </cell>
        </row>
        <row r="84">
          <cell r="D84">
            <v>3261855520</v>
          </cell>
          <cell r="F84">
            <v>448879200</v>
          </cell>
          <cell r="H84">
            <v>2812976320</v>
          </cell>
        </row>
        <row r="85">
          <cell r="D85">
            <v>392400000</v>
          </cell>
          <cell r="H85">
            <v>332388000</v>
          </cell>
          <cell r="I85">
            <v>60012000</v>
          </cell>
        </row>
        <row r="86">
          <cell r="D86">
            <v>370600000</v>
          </cell>
          <cell r="I86">
            <v>370600000</v>
          </cell>
        </row>
        <row r="87">
          <cell r="D87">
            <v>568435000</v>
          </cell>
          <cell r="H87">
            <v>490210000</v>
          </cell>
          <cell r="I87">
            <v>78225000</v>
          </cell>
        </row>
        <row r="88">
          <cell r="D88">
            <v>2398000000</v>
          </cell>
          <cell r="H88">
            <v>2068000000</v>
          </cell>
          <cell r="I88">
            <v>330000000</v>
          </cell>
        </row>
        <row r="89">
          <cell r="D89">
            <v>2043750000</v>
          </cell>
          <cell r="I89">
            <v>2043750000</v>
          </cell>
        </row>
        <row r="90">
          <cell r="D90">
            <v>170040000</v>
          </cell>
          <cell r="F90">
            <v>12136800</v>
          </cell>
          <cell r="H90">
            <v>157903200</v>
          </cell>
        </row>
        <row r="91">
          <cell r="D91">
            <v>1013700000</v>
          </cell>
          <cell r="H91">
            <v>874200000</v>
          </cell>
          <cell r="I91">
            <v>139500000</v>
          </cell>
        </row>
        <row r="92">
          <cell r="D92">
            <v>3400800000</v>
          </cell>
          <cell r="H92">
            <v>2305240000</v>
          </cell>
          <cell r="I92">
            <v>1095560000</v>
          </cell>
        </row>
        <row r="93">
          <cell r="D93">
            <v>3948084531</v>
          </cell>
          <cell r="H93">
            <v>3404770146</v>
          </cell>
          <cell r="I93">
            <v>543314385</v>
          </cell>
        </row>
        <row r="94">
          <cell r="D94">
            <v>457800000</v>
          </cell>
          <cell r="I94">
            <v>457800000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286000000</v>
          </cell>
          <cell r="H2">
            <v>247000000</v>
          </cell>
          <cell r="I2">
            <v>39000000</v>
          </cell>
        </row>
        <row r="3">
          <cell r="D3">
            <v>1234200000</v>
          </cell>
          <cell r="H3">
            <v>1047162600</v>
          </cell>
          <cell r="I3">
            <v>187037400</v>
          </cell>
        </row>
        <row r="4">
          <cell r="D4">
            <v>836000000</v>
          </cell>
          <cell r="I4">
            <v>836000000</v>
          </cell>
        </row>
        <row r="5">
          <cell r="D5">
            <v>4695350000</v>
          </cell>
          <cell r="H5">
            <v>3935557000</v>
          </cell>
          <cell r="I5">
            <v>759793000</v>
          </cell>
        </row>
        <row r="6">
          <cell r="D6">
            <v>829708000</v>
          </cell>
          <cell r="I6">
            <v>829708000</v>
          </cell>
        </row>
        <row r="7">
          <cell r="D7">
            <v>573650000</v>
          </cell>
          <cell r="H7">
            <v>495425000</v>
          </cell>
          <cell r="I7">
            <v>78225000</v>
          </cell>
        </row>
        <row r="8">
          <cell r="D8">
            <v>1386000000</v>
          </cell>
          <cell r="I8">
            <v>1386000000</v>
          </cell>
        </row>
        <row r="9">
          <cell r="D9">
            <v>376200000</v>
          </cell>
          <cell r="I9">
            <v>376200000</v>
          </cell>
        </row>
        <row r="10">
          <cell r="D10">
            <v>1814175000</v>
          </cell>
          <cell r="H10">
            <v>1566787500</v>
          </cell>
          <cell r="I10">
            <v>247387500</v>
          </cell>
        </row>
        <row r="11">
          <cell r="D11">
            <v>1705000000</v>
          </cell>
          <cell r="H11">
            <v>1446615000</v>
          </cell>
          <cell r="I11">
            <v>258385000</v>
          </cell>
        </row>
        <row r="12">
          <cell r="D12">
            <v>858000000</v>
          </cell>
          <cell r="I12">
            <v>858000000</v>
          </cell>
        </row>
        <row r="13">
          <cell r="D13">
            <v>1105500000</v>
          </cell>
          <cell r="I13">
            <v>1105500000</v>
          </cell>
        </row>
        <row r="14">
          <cell r="D14">
            <v>1617209586</v>
          </cell>
          <cell r="I14">
            <v>1617209586</v>
          </cell>
        </row>
        <row r="15">
          <cell r="D15">
            <v>171600000</v>
          </cell>
          <cell r="F15">
            <v>26005200</v>
          </cell>
          <cell r="H15">
            <v>145594800</v>
          </cell>
        </row>
        <row r="16">
          <cell r="D16">
            <v>814000000</v>
          </cell>
          <cell r="H16">
            <v>690642000</v>
          </cell>
          <cell r="I16">
            <v>123358000</v>
          </cell>
        </row>
        <row r="17">
          <cell r="D17">
            <v>292380000</v>
          </cell>
          <cell r="H17">
            <v>248071140</v>
          </cell>
          <cell r="I17">
            <v>44308860</v>
          </cell>
        </row>
        <row r="18">
          <cell r="D18">
            <v>3134945000</v>
          </cell>
          <cell r="I18">
            <v>3134945000</v>
          </cell>
        </row>
        <row r="19">
          <cell r="D19">
            <v>107910000000</v>
          </cell>
          <cell r="H19">
            <v>103005000000</v>
          </cell>
          <cell r="I19">
            <v>4905000000</v>
          </cell>
        </row>
        <row r="20">
          <cell r="D20">
            <v>3984305490</v>
          </cell>
          <cell r="H20">
            <v>3440991105</v>
          </cell>
          <cell r="I20">
            <v>543314385</v>
          </cell>
        </row>
        <row r="21">
          <cell r="D21">
            <v>3984305490</v>
          </cell>
          <cell r="I21">
            <v>3984305490</v>
          </cell>
        </row>
        <row r="22">
          <cell r="D22">
            <v>9680000000</v>
          </cell>
          <cell r="H22">
            <v>8360000000</v>
          </cell>
          <cell r="I22">
            <v>1320000000</v>
          </cell>
        </row>
        <row r="23">
          <cell r="D23">
            <v>1122000000</v>
          </cell>
          <cell r="I23">
            <v>1122000000</v>
          </cell>
        </row>
        <row r="24">
          <cell r="D24">
            <v>368500000</v>
          </cell>
          <cell r="I24">
            <v>368500000</v>
          </cell>
        </row>
        <row r="25">
          <cell r="D25">
            <v>792000000</v>
          </cell>
          <cell r="H25">
            <v>792000000</v>
          </cell>
        </row>
        <row r="26">
          <cell r="D26">
            <v>836000000</v>
          </cell>
          <cell r="I26">
            <v>836000000</v>
          </cell>
        </row>
        <row r="27">
          <cell r="D27">
            <v>1201200000</v>
          </cell>
          <cell r="I27">
            <v>1201200000</v>
          </cell>
        </row>
        <row r="28">
          <cell r="D28">
            <v>1815000000</v>
          </cell>
          <cell r="I28">
            <v>1815000000</v>
          </cell>
        </row>
        <row r="29">
          <cell r="D29">
            <v>705100000</v>
          </cell>
          <cell r="H29">
            <v>608950000</v>
          </cell>
          <cell r="I29">
            <v>96150000</v>
          </cell>
        </row>
        <row r="30">
          <cell r="D30">
            <v>495000000</v>
          </cell>
          <cell r="I30">
            <v>495000000</v>
          </cell>
        </row>
        <row r="31">
          <cell r="D31">
            <v>1408605000</v>
          </cell>
          <cell r="H31">
            <v>1180667100</v>
          </cell>
          <cell r="I31">
            <v>227937900</v>
          </cell>
        </row>
        <row r="32">
          <cell r="D32">
            <v>1408605000</v>
          </cell>
          <cell r="H32">
            <v>1180667100</v>
          </cell>
          <cell r="I32">
            <v>227937900</v>
          </cell>
        </row>
        <row r="33">
          <cell r="D33">
            <v>1408605000</v>
          </cell>
          <cell r="H33">
            <v>1180667100</v>
          </cell>
          <cell r="I33">
            <v>227937900</v>
          </cell>
        </row>
        <row r="34">
          <cell r="D34">
            <v>1006500000</v>
          </cell>
          <cell r="I34">
            <v>1006500000</v>
          </cell>
        </row>
        <row r="35">
          <cell r="D35">
            <v>15400000000</v>
          </cell>
          <cell r="I35">
            <v>15400000000</v>
          </cell>
        </row>
        <row r="36">
          <cell r="D36">
            <v>1386000000</v>
          </cell>
          <cell r="I36">
            <v>1386000000</v>
          </cell>
        </row>
        <row r="37">
          <cell r="D37">
            <v>1147300000</v>
          </cell>
          <cell r="I37">
            <v>1147300000</v>
          </cell>
        </row>
        <row r="38">
          <cell r="D38">
            <v>3437500000</v>
          </cell>
          <cell r="H38">
            <v>3281250000</v>
          </cell>
          <cell r="I38">
            <v>156250000</v>
          </cell>
        </row>
        <row r="39">
          <cell r="D39">
            <v>2502500000</v>
          </cell>
          <cell r="I39">
            <v>2502500000</v>
          </cell>
        </row>
        <row r="40">
          <cell r="D40">
            <v>291500000</v>
          </cell>
          <cell r="I40">
            <v>291500000</v>
          </cell>
        </row>
        <row r="41">
          <cell r="D41">
            <v>352000000</v>
          </cell>
          <cell r="H41">
            <v>320000000</v>
          </cell>
          <cell r="I41">
            <v>32000000</v>
          </cell>
        </row>
        <row r="42">
          <cell r="D42">
            <v>1344744929</v>
          </cell>
          <cell r="I42">
            <v>1344744929</v>
          </cell>
        </row>
        <row r="43">
          <cell r="D43">
            <v>715000000</v>
          </cell>
          <cell r="I43">
            <v>715000000</v>
          </cell>
        </row>
        <row r="44">
          <cell r="D44">
            <v>11990000000</v>
          </cell>
          <cell r="I44">
            <v>11990000000</v>
          </cell>
        </row>
        <row r="45">
          <cell r="D45">
            <v>242000000</v>
          </cell>
          <cell r="H45">
            <v>205326000</v>
          </cell>
          <cell r="I45">
            <v>36674000</v>
          </cell>
        </row>
        <row r="46">
          <cell r="D46">
            <v>11000000000</v>
          </cell>
          <cell r="I46">
            <v>11000000000</v>
          </cell>
        </row>
        <row r="47">
          <cell r="D47">
            <v>1535600000</v>
          </cell>
          <cell r="I47">
            <v>1535600000</v>
          </cell>
        </row>
        <row r="48">
          <cell r="D48">
            <v>1298000000</v>
          </cell>
          <cell r="H48">
            <v>1014936000</v>
          </cell>
          <cell r="I48">
            <v>283064000</v>
          </cell>
        </row>
        <row r="49">
          <cell r="D49">
            <v>808604793</v>
          </cell>
          <cell r="I49">
            <v>808604793</v>
          </cell>
        </row>
        <row r="50">
          <cell r="D50">
            <v>286000000</v>
          </cell>
          <cell r="H50">
            <v>247000000</v>
          </cell>
          <cell r="I50">
            <v>39000000</v>
          </cell>
        </row>
        <row r="51">
          <cell r="D51">
            <v>1551000000</v>
          </cell>
          <cell r="I51">
            <v>1551000000</v>
          </cell>
        </row>
        <row r="52">
          <cell r="D52">
            <v>2310000000</v>
          </cell>
          <cell r="I52">
            <v>2310000000</v>
          </cell>
        </row>
        <row r="53">
          <cell r="D53">
            <v>176000000</v>
          </cell>
          <cell r="I53">
            <v>176000000</v>
          </cell>
        </row>
        <row r="54">
          <cell r="D54">
            <v>858000000</v>
          </cell>
          <cell r="H54">
            <v>858000000</v>
          </cell>
        </row>
        <row r="55">
          <cell r="D55">
            <v>171600000</v>
          </cell>
          <cell r="H55">
            <v>171600000</v>
          </cell>
        </row>
        <row r="56">
          <cell r="D56">
            <v>1408605000</v>
          </cell>
          <cell r="H56">
            <v>1180667100</v>
          </cell>
          <cell r="I56">
            <v>227937900</v>
          </cell>
        </row>
        <row r="57">
          <cell r="D57">
            <v>2018500000</v>
          </cell>
          <cell r="I57">
            <v>2018500000</v>
          </cell>
        </row>
        <row r="58">
          <cell r="D58">
            <v>7700000000</v>
          </cell>
          <cell r="I58">
            <v>7700000000</v>
          </cell>
        </row>
        <row r="59">
          <cell r="D59">
            <v>5315063524</v>
          </cell>
          <cell r="I59">
            <v>5315063524</v>
          </cell>
        </row>
        <row r="60">
          <cell r="D60">
            <v>1718750000</v>
          </cell>
          <cell r="I60">
            <v>1718750000</v>
          </cell>
        </row>
        <row r="61">
          <cell r="D61">
            <v>1814175000</v>
          </cell>
          <cell r="I61">
            <v>1814175000</v>
          </cell>
        </row>
        <row r="62">
          <cell r="D62">
            <v>1518000000</v>
          </cell>
          <cell r="I62">
            <v>1518000000</v>
          </cell>
        </row>
        <row r="63">
          <cell r="D63">
            <v>858000000</v>
          </cell>
          <cell r="I63">
            <v>858000000</v>
          </cell>
        </row>
        <row r="64">
          <cell r="D64">
            <v>770000000</v>
          </cell>
          <cell r="H64">
            <v>770000000</v>
          </cell>
        </row>
        <row r="65">
          <cell r="D65">
            <v>423500000</v>
          </cell>
          <cell r="H65">
            <v>359320500</v>
          </cell>
          <cell r="I65">
            <v>64179500</v>
          </cell>
        </row>
        <row r="66">
          <cell r="D66">
            <v>2153349722</v>
          </cell>
          <cell r="I66">
            <v>2153349722</v>
          </cell>
        </row>
        <row r="67">
          <cell r="D67">
            <v>1455300000</v>
          </cell>
          <cell r="I67">
            <v>1455300000</v>
          </cell>
        </row>
        <row r="68">
          <cell r="D68">
            <v>2868250000</v>
          </cell>
          <cell r="I68">
            <v>2868250000</v>
          </cell>
        </row>
        <row r="69">
          <cell r="D69">
            <v>1039500000</v>
          </cell>
          <cell r="I69">
            <v>1039500000</v>
          </cell>
        </row>
        <row r="70">
          <cell r="D70">
            <v>9087044089</v>
          </cell>
          <cell r="I70">
            <v>9087044089</v>
          </cell>
        </row>
        <row r="71">
          <cell r="D71">
            <v>1408605000</v>
          </cell>
          <cell r="I71">
            <v>1408605000</v>
          </cell>
        </row>
        <row r="72">
          <cell r="D72">
            <v>20750400000</v>
          </cell>
          <cell r="H72">
            <v>13204800000</v>
          </cell>
          <cell r="I72">
            <v>7545600000</v>
          </cell>
        </row>
        <row r="73">
          <cell r="D73">
            <v>1009800000</v>
          </cell>
          <cell r="I73">
            <v>1009800000</v>
          </cell>
        </row>
        <row r="74">
          <cell r="D74">
            <v>18975000</v>
          </cell>
          <cell r="I74">
            <v>18975000</v>
          </cell>
        </row>
        <row r="75">
          <cell r="D75">
            <v>82225000</v>
          </cell>
          <cell r="I75">
            <v>82225000</v>
          </cell>
        </row>
        <row r="76">
          <cell r="D76">
            <v>2062500000</v>
          </cell>
          <cell r="I76">
            <v>2062500000</v>
          </cell>
        </row>
        <row r="77">
          <cell r="D77">
            <v>2251870500</v>
          </cell>
          <cell r="I77">
            <v>2251870500</v>
          </cell>
        </row>
        <row r="78">
          <cell r="D78">
            <v>1535600000</v>
          </cell>
          <cell r="I78">
            <v>1535600000</v>
          </cell>
        </row>
        <row r="79">
          <cell r="D79">
            <v>55334400000</v>
          </cell>
          <cell r="H79">
            <v>21314445000</v>
          </cell>
          <cell r="I79">
            <v>34019955000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14706293625</v>
          </cell>
          <cell r="F2">
            <v>2023801875</v>
          </cell>
          <cell r="H2">
            <v>12682491750</v>
          </cell>
          <cell r="M2" t="str">
            <v>-</v>
          </cell>
        </row>
        <row r="3">
          <cell r="D3">
            <v>1634032625</v>
          </cell>
          <cell r="H3">
            <v>1409165750</v>
          </cell>
          <cell r="I3">
            <v>224866875</v>
          </cell>
          <cell r="M3" t="str">
            <v>-</v>
          </cell>
        </row>
        <row r="4">
          <cell r="D4">
            <v>1828148000</v>
          </cell>
          <cell r="F4">
            <v>251580000</v>
          </cell>
          <cell r="H4">
            <v>1576568000</v>
          </cell>
          <cell r="M4" t="str">
            <v>-</v>
          </cell>
        </row>
        <row r="5">
          <cell r="D5">
            <v>13727227467</v>
          </cell>
          <cell r="H5">
            <v>12000000000</v>
          </cell>
          <cell r="I5">
            <v>1727227467</v>
          </cell>
          <cell r="M5" t="str">
            <v>-</v>
          </cell>
        </row>
        <row r="6">
          <cell r="D6">
            <v>8698134600</v>
          </cell>
          <cell r="F6">
            <v>1196991000</v>
          </cell>
          <cell r="H6">
            <v>7501143600</v>
          </cell>
          <cell r="M6" t="str">
            <v>-</v>
          </cell>
        </row>
        <row r="7">
          <cell r="D7">
            <v>1498750000</v>
          </cell>
          <cell r="I7">
            <v>1498750000</v>
          </cell>
          <cell r="M7" t="str">
            <v>-</v>
          </cell>
        </row>
        <row r="8">
          <cell r="D8">
            <v>1852258800</v>
          </cell>
          <cell r="F8">
            <v>254898000</v>
          </cell>
          <cell r="H8">
            <v>1597360800</v>
          </cell>
          <cell r="M8" t="str">
            <v>-</v>
          </cell>
        </row>
        <row r="9">
          <cell r="D9">
            <v>15537466426</v>
          </cell>
          <cell r="F9">
            <v>2138183453</v>
          </cell>
          <cell r="H9">
            <v>13399282973</v>
          </cell>
          <cell r="M9" t="str">
            <v>-</v>
          </cell>
        </row>
        <row r="10">
          <cell r="D10">
            <v>16248030500</v>
          </cell>
          <cell r="F10">
            <v>2484905215</v>
          </cell>
          <cell r="H10">
            <v>13763125285</v>
          </cell>
          <cell r="M10" t="str">
            <v>-</v>
          </cell>
        </row>
        <row r="11">
          <cell r="D11">
            <v>2219512500</v>
          </cell>
          <cell r="H11">
            <v>1914075000</v>
          </cell>
          <cell r="I11">
            <v>305437500</v>
          </cell>
          <cell r="M11" t="str">
            <v>-</v>
          </cell>
        </row>
        <row r="12">
          <cell r="D12">
            <v>1244858862</v>
          </cell>
          <cell r="I12">
            <v>1244858862</v>
          </cell>
          <cell r="M12" t="str">
            <v>مفاصا حساب</v>
          </cell>
        </row>
        <row r="13">
          <cell r="D13">
            <v>899250000</v>
          </cell>
          <cell r="I13">
            <v>899250000</v>
          </cell>
          <cell r="M13" t="str">
            <v>-</v>
          </cell>
        </row>
        <row r="14">
          <cell r="D14">
            <v>12069439200</v>
          </cell>
          <cell r="H14">
            <v>9932373360</v>
          </cell>
          <cell r="I14">
            <v>2137065840</v>
          </cell>
          <cell r="M14" t="str">
            <v>-</v>
          </cell>
        </row>
        <row r="15">
          <cell r="D15">
            <v>20502524767</v>
          </cell>
          <cell r="F15">
            <v>2821448362</v>
          </cell>
          <cell r="H15">
            <v>17681076405</v>
          </cell>
          <cell r="M15" t="str">
            <v>-</v>
          </cell>
        </row>
        <row r="16">
          <cell r="D16">
            <v>2928683940</v>
          </cell>
          <cell r="F16">
            <v>403029900</v>
          </cell>
          <cell r="H16">
            <v>2525654040</v>
          </cell>
          <cell r="M16" t="str">
            <v>-</v>
          </cell>
        </row>
        <row r="17">
          <cell r="D17">
            <v>440894964</v>
          </cell>
          <cell r="I17">
            <v>440894964</v>
          </cell>
          <cell r="M17" t="str">
            <v>-</v>
          </cell>
        </row>
        <row r="18">
          <cell r="D18">
            <v>2723910000</v>
          </cell>
          <cell r="F18">
            <v>374850000</v>
          </cell>
          <cell r="H18">
            <v>2349060000</v>
          </cell>
          <cell r="M18" t="str">
            <v>-</v>
          </cell>
        </row>
        <row r="19">
          <cell r="D19">
            <v>4824270240</v>
          </cell>
          <cell r="H19">
            <v>4341843216</v>
          </cell>
          <cell r="I19">
            <v>482427024</v>
          </cell>
          <cell r="M19" t="str">
            <v>-</v>
          </cell>
        </row>
        <row r="20">
          <cell r="D20">
            <v>1245447625</v>
          </cell>
          <cell r="H20">
            <v>892592374</v>
          </cell>
          <cell r="I20">
            <v>352855251</v>
          </cell>
          <cell r="M20" t="str">
            <v>-</v>
          </cell>
        </row>
        <row r="21">
          <cell r="D21">
            <v>1893203280</v>
          </cell>
          <cell r="I21">
            <v>1893203280</v>
          </cell>
          <cell r="M21" t="str">
            <v>عدم پرداخت توسط نامدار</v>
          </cell>
        </row>
        <row r="22">
          <cell r="D22">
            <v>284061217</v>
          </cell>
          <cell r="I22">
            <v>284061217</v>
          </cell>
          <cell r="M22" t="str">
            <v>-</v>
          </cell>
        </row>
        <row r="23">
          <cell r="D23">
            <v>1186475900</v>
          </cell>
          <cell r="F23">
            <v>163276500</v>
          </cell>
          <cell r="H23">
            <v>1023199400</v>
          </cell>
          <cell r="M23" t="str">
            <v>-</v>
          </cell>
        </row>
        <row r="24">
          <cell r="D24">
            <v>19110357747</v>
          </cell>
          <cell r="F24">
            <v>2629865745</v>
          </cell>
          <cell r="H24">
            <v>16480492002</v>
          </cell>
          <cell r="M24" t="str">
            <v>-</v>
          </cell>
        </row>
        <row r="25">
          <cell r="D25">
            <v>7467404700</v>
          </cell>
          <cell r="F25">
            <v>1027624500</v>
          </cell>
          <cell r="H25">
            <v>6439780200</v>
          </cell>
          <cell r="M25" t="str">
            <v>-</v>
          </cell>
        </row>
        <row r="26">
          <cell r="D26">
            <v>4060228200</v>
          </cell>
          <cell r="F26">
            <v>558747000</v>
          </cell>
          <cell r="H26">
            <v>3501481200</v>
          </cell>
          <cell r="M26" t="str">
            <v>-</v>
          </cell>
        </row>
        <row r="27">
          <cell r="D27">
            <v>2452500000</v>
          </cell>
          <cell r="H27">
            <v>1552500000</v>
          </cell>
          <cell r="I27">
            <v>900000000</v>
          </cell>
          <cell r="M27" t="str">
            <v>-</v>
          </cell>
        </row>
        <row r="28">
          <cell r="D28">
            <v>599500000</v>
          </cell>
          <cell r="I28">
            <v>599500000</v>
          </cell>
          <cell r="M28" t="str">
            <v>-</v>
          </cell>
        </row>
        <row r="29">
          <cell r="D29">
            <v>5297236500</v>
          </cell>
          <cell r="F29">
            <v>728977500</v>
          </cell>
          <cell r="H29">
            <v>4568259000</v>
          </cell>
          <cell r="M29" t="str">
            <v>-</v>
          </cell>
        </row>
        <row r="30">
          <cell r="D30">
            <v>4623986010</v>
          </cell>
          <cell r="H30">
            <v>4242013521</v>
          </cell>
          <cell r="I30">
            <v>381972489</v>
          </cell>
          <cell r="M30" t="str">
            <v>-</v>
          </cell>
        </row>
        <row r="31">
          <cell r="D31">
            <v>1089643134</v>
          </cell>
          <cell r="F31">
            <v>149950890</v>
          </cell>
          <cell r="H31">
            <v>939692244</v>
          </cell>
          <cell r="M31" t="str">
            <v>-</v>
          </cell>
        </row>
        <row r="32">
          <cell r="D32">
            <v>12684661905</v>
          </cell>
          <cell r="F32">
            <v>1745595675</v>
          </cell>
          <cell r="H32">
            <v>10939051433</v>
          </cell>
          <cell r="I32">
            <v>14797</v>
          </cell>
          <cell r="M32" t="str">
            <v>-</v>
          </cell>
        </row>
        <row r="33">
          <cell r="D33">
            <v>8304908816</v>
          </cell>
          <cell r="F33">
            <v>1142877360</v>
          </cell>
          <cell r="H33">
            <v>7162031456</v>
          </cell>
          <cell r="M33" t="str">
            <v>-</v>
          </cell>
        </row>
        <row r="34">
          <cell r="D34">
            <v>3520700000</v>
          </cell>
          <cell r="F34">
            <v>484500000</v>
          </cell>
          <cell r="H34">
            <v>3036200000</v>
          </cell>
          <cell r="M34" t="str">
            <v>-</v>
          </cell>
        </row>
        <row r="35">
          <cell r="D35">
            <v>2353880952</v>
          </cell>
          <cell r="I35">
            <v>2353880952</v>
          </cell>
          <cell r="M35" t="str">
            <v>-</v>
          </cell>
        </row>
        <row r="36">
          <cell r="D36">
            <v>13727227467</v>
          </cell>
          <cell r="H36">
            <v>10000000000</v>
          </cell>
          <cell r="I36">
            <v>3727227467</v>
          </cell>
          <cell r="M36" t="str">
            <v>-</v>
          </cell>
        </row>
        <row r="37">
          <cell r="D37">
            <v>1719080451</v>
          </cell>
          <cell r="I37">
            <v>1719080451</v>
          </cell>
          <cell r="M37" t="str">
            <v>مفاصا حساب</v>
          </cell>
        </row>
        <row r="38">
          <cell r="D38">
            <v>1245447625</v>
          </cell>
          <cell r="H38">
            <v>1074935925</v>
          </cell>
          <cell r="I38">
            <v>170511700</v>
          </cell>
          <cell r="M38" t="str">
            <v>-</v>
          </cell>
        </row>
        <row r="39">
          <cell r="D39">
            <v>6343597260</v>
          </cell>
          <cell r="F39">
            <v>872267960</v>
          </cell>
          <cell r="H39">
            <v>5471329300</v>
          </cell>
          <cell r="M39" t="str">
            <v>-</v>
          </cell>
        </row>
        <row r="40">
          <cell r="D40">
            <v>3733702350</v>
          </cell>
          <cell r="F40">
            <v>513812250</v>
          </cell>
          <cell r="H40">
            <v>3219890100</v>
          </cell>
          <cell r="M40" t="str">
            <v>-</v>
          </cell>
        </row>
        <row r="41">
          <cell r="D41">
            <v>3228650850</v>
          </cell>
          <cell r="F41">
            <v>444309750</v>
          </cell>
          <cell r="H41">
            <v>2784341100</v>
          </cell>
          <cell r="M41" t="str">
            <v>-</v>
          </cell>
        </row>
        <row r="42">
          <cell r="D42">
            <v>914074000</v>
          </cell>
          <cell r="F42">
            <v>125790000</v>
          </cell>
          <cell r="H42">
            <v>788284000</v>
          </cell>
          <cell r="M42" t="str">
            <v>-</v>
          </cell>
        </row>
        <row r="43">
          <cell r="D43">
            <v>31065000000</v>
          </cell>
          <cell r="F43">
            <v>4275000000</v>
          </cell>
          <cell r="H43">
            <v>26790000000</v>
          </cell>
          <cell r="M43" t="str">
            <v>-</v>
          </cell>
        </row>
        <row r="44">
          <cell r="D44">
            <v>3945155592</v>
          </cell>
          <cell r="H44">
            <v>2900037668</v>
          </cell>
          <cell r="I44">
            <v>1045117924</v>
          </cell>
          <cell r="M44" t="str">
            <v>-</v>
          </cell>
        </row>
        <row r="45">
          <cell r="D45">
            <v>1086999666</v>
          </cell>
          <cell r="F45">
            <v>149587110</v>
          </cell>
          <cell r="H45">
            <v>937412556</v>
          </cell>
          <cell r="M45" t="str">
            <v>-</v>
          </cell>
        </row>
        <row r="46">
          <cell r="D46">
            <v>10783534590</v>
          </cell>
          <cell r="F46">
            <v>1483972650</v>
          </cell>
          <cell r="H46">
            <v>9299561940</v>
          </cell>
          <cell r="M46" t="str">
            <v>-</v>
          </cell>
        </row>
        <row r="47">
          <cell r="D47">
            <v>3733702350</v>
          </cell>
          <cell r="I47">
            <v>3733702350</v>
          </cell>
          <cell r="M47" t="str">
            <v>مفاصا حساب</v>
          </cell>
        </row>
        <row r="48">
          <cell r="D48">
            <v>7250407500</v>
          </cell>
          <cell r="H48">
            <v>6252645000</v>
          </cell>
          <cell r="I48">
            <v>997762500</v>
          </cell>
          <cell r="M48" t="str">
            <v>-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>
            <v>5396118750</v>
          </cell>
          <cell r="H2">
            <v>4660284375</v>
          </cell>
          <cell r="I2">
            <v>735834375</v>
          </cell>
          <cell r="M2" t="str">
            <v>وصول شده</v>
          </cell>
        </row>
        <row r="3">
          <cell r="D3">
            <v>10453300000</v>
          </cell>
          <cell r="I3">
            <v>10453300000</v>
          </cell>
          <cell r="M3" t="str">
            <v>علی‌الحساب</v>
          </cell>
        </row>
        <row r="4">
          <cell r="D4">
            <v>461230000</v>
          </cell>
          <cell r="I4">
            <v>461230000</v>
          </cell>
          <cell r="M4" t="str">
            <v>مفاصا حساب</v>
          </cell>
        </row>
        <row r="5">
          <cell r="D5">
            <v>26033333333</v>
          </cell>
          <cell r="I5">
            <v>26033333333</v>
          </cell>
          <cell r="M5" t="str">
            <v>عدم پرداخت توسط نامدار</v>
          </cell>
        </row>
        <row r="6">
          <cell r="D6">
            <v>273809152</v>
          </cell>
          <cell r="I6">
            <v>273809152</v>
          </cell>
          <cell r="M6" t="str">
            <v>عدم پرداخت توسط نامدار</v>
          </cell>
        </row>
        <row r="7">
          <cell r="D7">
            <v>1170557798</v>
          </cell>
          <cell r="I7">
            <v>1170557798</v>
          </cell>
          <cell r="M7" t="str">
            <v>عدم پرداخت توسط نامدار</v>
          </cell>
        </row>
        <row r="8">
          <cell r="D8">
            <v>4691791500</v>
          </cell>
          <cell r="H8">
            <v>4052001750</v>
          </cell>
          <cell r="I8">
            <v>639789750</v>
          </cell>
          <cell r="M8" t="str">
            <v>وصول شده</v>
          </cell>
        </row>
        <row r="9">
          <cell r="D9">
            <v>3246325500</v>
          </cell>
          <cell r="H9">
            <v>2803644750</v>
          </cell>
          <cell r="I9">
            <v>442680750</v>
          </cell>
          <cell r="M9" t="str">
            <v>وصول شده</v>
          </cell>
        </row>
        <row r="10">
          <cell r="D10">
            <v>4443450000</v>
          </cell>
          <cell r="H10">
            <v>3837525000</v>
          </cell>
          <cell r="I10">
            <v>605925000</v>
          </cell>
          <cell r="M10" t="str">
            <v>وصول شده</v>
          </cell>
        </row>
        <row r="11">
          <cell r="D11">
            <v>1650000000</v>
          </cell>
          <cell r="I11">
            <v>1650000000</v>
          </cell>
          <cell r="M11" t="str">
            <v>مفاصا حساب</v>
          </cell>
        </row>
        <row r="12">
          <cell r="D12">
            <v>1332375000</v>
          </cell>
          <cell r="I12">
            <v>1332375000</v>
          </cell>
          <cell r="M12" t="str">
            <v>مفاصا حساب</v>
          </cell>
        </row>
        <row r="13">
          <cell r="D13">
            <v>711310600</v>
          </cell>
          <cell r="I13">
            <v>711310600</v>
          </cell>
          <cell r="M13" t="str">
            <v>مفاصا حساب</v>
          </cell>
        </row>
        <row r="14">
          <cell r="D14">
            <v>10297100000</v>
          </cell>
          <cell r="H14">
            <v>8892950000</v>
          </cell>
          <cell r="I14">
            <v>1404150000</v>
          </cell>
          <cell r="M14" t="str">
            <v>علی‌الحساب</v>
          </cell>
        </row>
        <row r="15">
          <cell r="D15">
            <v>4954552729</v>
          </cell>
          <cell r="I15">
            <v>4954552729</v>
          </cell>
          <cell r="M15" t="str">
            <v>پیش بینی وصولی ماه آینده</v>
          </cell>
        </row>
        <row r="16">
          <cell r="D16">
            <v>3067135500</v>
          </cell>
          <cell r="I16">
            <v>3067135500</v>
          </cell>
          <cell r="M16" t="str">
            <v>پیش بینی وصولی ماه آینده</v>
          </cell>
        </row>
        <row r="17">
          <cell r="D17">
            <v>298452000</v>
          </cell>
          <cell r="I17">
            <v>298452000</v>
          </cell>
          <cell r="M17" t="str">
            <v>پیش بینی وصولی ماه آینده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752100000</v>
          </cell>
          <cell r="I2">
            <v>752100000</v>
          </cell>
        </row>
        <row r="3">
          <cell r="D3">
            <v>1095947667</v>
          </cell>
          <cell r="H3">
            <v>1095947667</v>
          </cell>
        </row>
        <row r="4">
          <cell r="D4">
            <v>5439100000</v>
          </cell>
          <cell r="F4">
            <v>748500000</v>
          </cell>
          <cell r="H4">
            <v>4690600000</v>
          </cell>
        </row>
        <row r="5">
          <cell r="D5">
            <v>2052307590</v>
          </cell>
          <cell r="F5">
            <v>282427650</v>
          </cell>
          <cell r="H5">
            <v>1769879940</v>
          </cell>
        </row>
        <row r="6">
          <cell r="D6">
            <v>6242131560</v>
          </cell>
          <cell r="F6">
            <v>859008929</v>
          </cell>
          <cell r="H6">
            <v>5383122631</v>
          </cell>
        </row>
        <row r="7">
          <cell r="D7">
            <v>152600000</v>
          </cell>
          <cell r="F7">
            <v>21000000</v>
          </cell>
          <cell r="H7">
            <v>131600000</v>
          </cell>
        </row>
        <row r="8">
          <cell r="D8">
            <v>3524655424</v>
          </cell>
          <cell r="F8">
            <v>485044324</v>
          </cell>
          <cell r="H8">
            <v>3039611100</v>
          </cell>
        </row>
        <row r="9">
          <cell r="D9">
            <v>408750000</v>
          </cell>
          <cell r="F9">
            <v>56250000</v>
          </cell>
          <cell r="H9">
            <v>352500000</v>
          </cell>
        </row>
        <row r="10">
          <cell r="D10">
            <v>457800000</v>
          </cell>
          <cell r="H10">
            <v>457800000</v>
          </cell>
        </row>
        <row r="11">
          <cell r="D11">
            <v>152600000</v>
          </cell>
          <cell r="F11">
            <v>21000000</v>
          </cell>
          <cell r="H11">
            <v>131600000</v>
          </cell>
        </row>
        <row r="12">
          <cell r="D12">
            <v>2719550000</v>
          </cell>
          <cell r="I12">
            <v>2719550000</v>
          </cell>
        </row>
        <row r="13">
          <cell r="D13">
            <v>1769368438</v>
          </cell>
          <cell r="H13">
            <v>1607041059</v>
          </cell>
          <cell r="I13">
            <v>162327379</v>
          </cell>
        </row>
        <row r="14">
          <cell r="D14">
            <v>1975214070</v>
          </cell>
          <cell r="F14">
            <v>271818450</v>
          </cell>
          <cell r="H14">
            <v>1703395620</v>
          </cell>
        </row>
        <row r="15">
          <cell r="D15">
            <v>1226250000</v>
          </cell>
          <cell r="F15">
            <v>300037500</v>
          </cell>
          <cell r="H15">
            <v>926212500</v>
          </cell>
        </row>
        <row r="16">
          <cell r="D16">
            <v>1767523832</v>
          </cell>
          <cell r="F16">
            <v>243237223</v>
          </cell>
          <cell r="H16">
            <v>1524286609</v>
          </cell>
        </row>
        <row r="17">
          <cell r="D17">
            <v>18965999999</v>
          </cell>
          <cell r="F17">
            <v>2609999999</v>
          </cell>
          <cell r="H17">
            <v>16356000000</v>
          </cell>
        </row>
        <row r="18">
          <cell r="D18">
            <v>24141647000</v>
          </cell>
          <cell r="F18">
            <v>3322245000</v>
          </cell>
          <cell r="H18">
            <v>20819402000</v>
          </cell>
        </row>
        <row r="19">
          <cell r="D19">
            <v>1226250000</v>
          </cell>
          <cell r="F19">
            <v>300037500</v>
          </cell>
          <cell r="H19">
            <v>926212500</v>
          </cell>
        </row>
        <row r="20">
          <cell r="D20">
            <v>381500000</v>
          </cell>
          <cell r="H20">
            <v>381500000</v>
          </cell>
        </row>
        <row r="21">
          <cell r="D21">
            <v>1909814070</v>
          </cell>
          <cell r="F21">
            <v>262818450</v>
          </cell>
          <cell r="H21">
            <v>1646995620</v>
          </cell>
        </row>
        <row r="22">
          <cell r="D22">
            <v>4741499999</v>
          </cell>
          <cell r="H22">
            <v>4066440000</v>
          </cell>
          <cell r="I22">
            <v>675059999</v>
          </cell>
        </row>
        <row r="23">
          <cell r="D23">
            <v>1137617866</v>
          </cell>
          <cell r="F23">
            <v>156552918</v>
          </cell>
          <cell r="H23">
            <v>981064948</v>
          </cell>
        </row>
        <row r="24">
          <cell r="D24">
            <v>412020000</v>
          </cell>
          <cell r="F24">
            <v>63012600</v>
          </cell>
          <cell r="H24">
            <v>349007400</v>
          </cell>
        </row>
        <row r="25">
          <cell r="D25">
            <v>1909814070</v>
          </cell>
          <cell r="H25">
            <v>1646995620</v>
          </cell>
          <cell r="I25">
            <v>262818450</v>
          </cell>
        </row>
        <row r="26">
          <cell r="D26">
            <v>14224499999</v>
          </cell>
          <cell r="H26">
            <v>12063960000</v>
          </cell>
          <cell r="I26">
            <v>2160539999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1237500000</v>
          </cell>
          <cell r="H2">
            <v>937462500</v>
          </cell>
          <cell r="I2">
            <v>300037500</v>
          </cell>
        </row>
        <row r="3">
          <cell r="D3">
            <v>9569999999</v>
          </cell>
          <cell r="I3">
            <v>9569999999</v>
          </cell>
        </row>
        <row r="4">
          <cell r="D4">
            <v>6199711875</v>
          </cell>
          <cell r="H4">
            <v>5761223162</v>
          </cell>
          <cell r="I4">
            <v>438488713</v>
          </cell>
        </row>
        <row r="5">
          <cell r="D5">
            <v>950054727</v>
          </cell>
          <cell r="I5">
            <v>950054727</v>
          </cell>
        </row>
        <row r="6">
          <cell r="D6">
            <v>633369818</v>
          </cell>
          <cell r="I6">
            <v>633369818</v>
          </cell>
        </row>
        <row r="7">
          <cell r="D7">
            <v>4284500000</v>
          </cell>
          <cell r="I7">
            <v>4284500000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801076425</v>
          </cell>
          <cell r="I2">
            <v>801076425</v>
          </cell>
        </row>
        <row r="3">
          <cell r="D3">
            <v>4864125000</v>
          </cell>
          <cell r="F3">
            <v>669375000</v>
          </cell>
          <cell r="H3">
            <v>4194750000</v>
          </cell>
        </row>
        <row r="4">
          <cell r="D4">
            <v>2471575000</v>
          </cell>
          <cell r="I4">
            <v>2471575000</v>
          </cell>
        </row>
        <row r="5">
          <cell r="D5">
            <v>3891300000</v>
          </cell>
          <cell r="H5">
            <v>3355800000</v>
          </cell>
          <cell r="I5">
            <v>535500000</v>
          </cell>
        </row>
        <row r="6">
          <cell r="D6">
            <v>391263675</v>
          </cell>
          <cell r="H6">
            <v>337420050</v>
          </cell>
          <cell r="I6">
            <v>53843625</v>
          </cell>
        </row>
        <row r="7">
          <cell r="D7">
            <v>204666575</v>
          </cell>
          <cell r="H7">
            <v>176501450</v>
          </cell>
          <cell r="I7">
            <v>28165125</v>
          </cell>
        </row>
        <row r="8">
          <cell r="D8">
            <v>441216195</v>
          </cell>
          <cell r="F8">
            <v>60717825</v>
          </cell>
          <cell r="H8">
            <v>380498370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2858056300</v>
          </cell>
          <cell r="H2">
            <v>2858056300</v>
          </cell>
        </row>
        <row r="3">
          <cell r="D3">
            <v>550212925</v>
          </cell>
          <cell r="F3">
            <v>75717375</v>
          </cell>
          <cell r="H3">
            <v>474495550</v>
          </cell>
        </row>
        <row r="4">
          <cell r="D4">
            <v>1373400000</v>
          </cell>
          <cell r="H4">
            <v>1373400000</v>
          </cell>
        </row>
        <row r="5">
          <cell r="D5">
            <v>107422770</v>
          </cell>
          <cell r="F5">
            <v>14782950</v>
          </cell>
          <cell r="H5">
            <v>92639820</v>
          </cell>
        </row>
        <row r="6">
          <cell r="D6">
            <v>306663325</v>
          </cell>
          <cell r="I6">
            <v>306663325</v>
          </cell>
        </row>
        <row r="7">
          <cell r="D7">
            <v>13897500000</v>
          </cell>
          <cell r="F7">
            <v>1912500000</v>
          </cell>
          <cell r="H7">
            <v>11985000000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D2">
            <v>186783300</v>
          </cell>
          <cell r="H2">
            <v>161312850</v>
          </cell>
          <cell r="I2">
            <v>25470450</v>
          </cell>
        </row>
        <row r="3">
          <cell r="D3">
            <v>2945250000</v>
          </cell>
          <cell r="I3">
            <v>2945250000</v>
          </cell>
        </row>
        <row r="4">
          <cell r="D4">
            <v>597990800</v>
          </cell>
          <cell r="I4">
            <v>597990800</v>
          </cell>
        </row>
        <row r="5">
          <cell r="D5">
            <v>6050000000</v>
          </cell>
          <cell r="I5">
            <v>6050000000</v>
          </cell>
        </row>
        <row r="6">
          <cell r="D6">
            <v>14025000000</v>
          </cell>
          <cell r="H6">
            <v>12112500000</v>
          </cell>
          <cell r="I6">
            <v>1912500000</v>
          </cell>
        </row>
        <row r="7">
          <cell r="D7">
            <v>14025000000</v>
          </cell>
          <cell r="I7">
            <v>14025000000</v>
          </cell>
        </row>
        <row r="8">
          <cell r="D8">
            <v>2640000000</v>
          </cell>
          <cell r="I8">
            <v>2640000000</v>
          </cell>
        </row>
        <row r="9">
          <cell r="D9">
            <v>660000000</v>
          </cell>
          <cell r="I9">
            <v>660000000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C89B-D863-4CF2-97A7-34C933EB7BA3}">
  <sheetPr>
    <pageSetUpPr fitToPage="1"/>
  </sheetPr>
  <dimension ref="A2:N27"/>
  <sheetViews>
    <sheetView rightToLeft="1" tabSelected="1" zoomScale="110" zoomScaleNormal="110" workbookViewId="0">
      <selection activeCell="H4" sqref="H4"/>
    </sheetView>
  </sheetViews>
  <sheetFormatPr defaultColWidth="9" defaultRowHeight="17.25" x14ac:dyDescent="0.4"/>
  <cols>
    <col min="1" max="1" width="7.85546875" style="1" bestFit="1" customWidth="1"/>
    <col min="2" max="2" width="20" style="1" customWidth="1"/>
    <col min="3" max="3" width="14.85546875" style="9" customWidth="1"/>
    <col min="4" max="4" width="14" style="2" bestFit="1" customWidth="1"/>
    <col min="5" max="5" width="14" style="2" customWidth="1"/>
    <col min="6" max="6" width="11.7109375" style="2" bestFit="1" customWidth="1"/>
    <col min="7" max="7" width="14.42578125" style="2" customWidth="1"/>
    <col min="8" max="8" width="14.7109375" style="2" customWidth="1"/>
    <col min="9" max="9" width="14" style="2" hidden="1" customWidth="1"/>
    <col min="10" max="10" width="16.5703125" style="1" hidden="1" customWidth="1"/>
    <col min="11" max="12" width="9" style="1" hidden="1" customWidth="1"/>
    <col min="13" max="13" width="13.42578125" style="1" hidden="1" customWidth="1"/>
    <col min="14" max="14" width="14.42578125" style="1" hidden="1" customWidth="1"/>
    <col min="15" max="16384" width="9" style="1"/>
  </cols>
  <sheetData>
    <row r="2" spans="2:14" ht="22.5" x14ac:dyDescent="0.55000000000000004">
      <c r="B2" s="1" t="s">
        <v>39</v>
      </c>
      <c r="C2" s="41" t="s">
        <v>38</v>
      </c>
      <c r="D2" s="41"/>
      <c r="E2" s="41"/>
      <c r="F2" s="41"/>
      <c r="G2" s="41"/>
      <c r="H2" s="41"/>
      <c r="I2" s="1"/>
    </row>
    <row r="3" spans="2:14" x14ac:dyDescent="0.4">
      <c r="C3" s="19" t="s">
        <v>30</v>
      </c>
      <c r="D3" s="19" t="s">
        <v>31</v>
      </c>
      <c r="E3" s="20" t="s">
        <v>32</v>
      </c>
      <c r="F3" s="20" t="s">
        <v>33</v>
      </c>
      <c r="G3" s="20" t="s">
        <v>34</v>
      </c>
      <c r="H3" s="20" t="s">
        <v>35</v>
      </c>
    </row>
    <row r="4" spans="2:14" x14ac:dyDescent="0.4">
      <c r="C4" s="21">
        <f>C13+C21</f>
        <v>1531796945162</v>
      </c>
      <c r="D4" s="21">
        <f t="shared" ref="D4:N4" si="0">D13+D21</f>
        <v>1035500000</v>
      </c>
      <c r="E4" s="21">
        <f t="shared" si="0"/>
        <v>74483823968</v>
      </c>
      <c r="F4" s="21">
        <f t="shared" si="0"/>
        <v>0</v>
      </c>
      <c r="G4" s="21">
        <f t="shared" si="0"/>
        <v>1490830922996</v>
      </c>
      <c r="H4" s="21">
        <f t="shared" si="0"/>
        <v>689259572799</v>
      </c>
      <c r="I4" s="30" t="e">
        <f t="shared" si="0"/>
        <v>#REF!</v>
      </c>
      <c r="J4" s="30" t="e">
        <f t="shared" si="0"/>
        <v>#REF!</v>
      </c>
      <c r="K4" s="30" t="e">
        <f t="shared" si="0"/>
        <v>#REF!</v>
      </c>
      <c r="L4" s="30" t="e">
        <f t="shared" si="0"/>
        <v>#REF!</v>
      </c>
      <c r="M4" s="30" t="e">
        <f t="shared" si="0"/>
        <v>#REF!</v>
      </c>
      <c r="N4" s="30" t="e">
        <f t="shared" si="0"/>
        <v>#REF!</v>
      </c>
    </row>
    <row r="7" spans="2:14" ht="22.5" x14ac:dyDescent="0.55000000000000004">
      <c r="B7" s="38" t="s">
        <v>36</v>
      </c>
      <c r="C7" s="38"/>
      <c r="D7" s="38"/>
      <c r="E7" s="38"/>
      <c r="F7" s="38"/>
      <c r="G7" s="38"/>
      <c r="H7" s="38"/>
    </row>
    <row r="8" spans="2:14" x14ac:dyDescent="0.4">
      <c r="B8" s="44" t="s">
        <v>28</v>
      </c>
      <c r="C8" s="45">
        <v>1402</v>
      </c>
      <c r="D8" s="45"/>
      <c r="E8" s="45"/>
      <c r="F8" s="45"/>
      <c r="G8" s="45"/>
      <c r="H8" s="45"/>
      <c r="I8" s="42">
        <v>1403</v>
      </c>
      <c r="J8" s="42"/>
      <c r="K8" s="42"/>
      <c r="L8" s="42"/>
      <c r="M8" s="42"/>
      <c r="N8" s="43"/>
    </row>
    <row r="9" spans="2:14" x14ac:dyDescent="0.4">
      <c r="B9" s="44"/>
      <c r="C9" s="19" t="s">
        <v>30</v>
      </c>
      <c r="D9" s="19" t="s">
        <v>31</v>
      </c>
      <c r="E9" s="20" t="s">
        <v>32</v>
      </c>
      <c r="F9" s="20" t="s">
        <v>33</v>
      </c>
      <c r="G9" s="20" t="s">
        <v>34</v>
      </c>
      <c r="H9" s="20" t="s">
        <v>35</v>
      </c>
      <c r="I9" s="28" t="s">
        <v>30</v>
      </c>
      <c r="J9" s="22" t="s">
        <v>31</v>
      </c>
      <c r="K9" s="23" t="s">
        <v>32</v>
      </c>
      <c r="L9" s="23" t="s">
        <v>33</v>
      </c>
      <c r="M9" s="23" t="s">
        <v>34</v>
      </c>
      <c r="N9" s="23" t="s">
        <v>35</v>
      </c>
    </row>
    <row r="10" spans="2:14" ht="21.75" x14ac:dyDescent="0.5">
      <c r="B10" s="27" t="s">
        <v>11</v>
      </c>
      <c r="C10" s="21">
        <f>'مطالبات به تفکیک  بتاها '!I4+'مطالبات به تفکیک  بتاها '!I6+'مطالبات به تفکیک  بتاها '!I8+'مطالبات به تفکیک  بتاها '!I10</f>
        <v>160014685350</v>
      </c>
      <c r="D10" s="21">
        <f>'مطالبات به تفکیک  بتاها '!E4+'مطالبات به تفکیک  بتاها '!E6+'مطالبات به تفکیک  بتاها '!E8+'مطالبات به تفکیک  بتاها '!E10</f>
        <v>0</v>
      </c>
      <c r="E10" s="21">
        <f>'مطالبات به تفکیک  بتاها '!F4+'مطالبات به تفکیک  بتاها '!F6+'مطالبات به تفکیک  بتاها '!F8+'مطالبات به تفکیک  بتاها '!F10</f>
        <v>27371590261</v>
      </c>
      <c r="F10" s="21">
        <f>'مطالبات به تفکیک  بتاها '!G4+'مطالبات به تفکیک  بتاها '!G6+'مطالبات به تفکیک  بتاها '!G8+'مطالبات به تفکیک  بتاها '!G10</f>
        <v>0</v>
      </c>
      <c r="G10" s="21">
        <f>'مطالبات به تفکیک  بتاها '!H4+'مطالبات به تفکیک  بتاها '!H6+'مطالبات به تفکیک  بتاها '!H8+'مطالبات به تفکیک  بتاها '!H10</f>
        <v>696441284340</v>
      </c>
      <c r="H10" s="21">
        <f>'مطالبات به تفکیک  بتاها '!I4+'مطالبات به تفکیک  بتاها '!I6+'مطالبات به تفکیک  بتاها '!I8+'مطالبات به تفکیک  بتاها '!I10</f>
        <v>160014685350</v>
      </c>
      <c r="I10" s="29" t="e">
        <f>#REF!+#REF!+#REF!+#REF!</f>
        <v>#REF!</v>
      </c>
      <c r="J10" s="24" t="e">
        <f>#REF!+#REF!+#REF!+#REF!</f>
        <v>#REF!</v>
      </c>
      <c r="K10" s="24" t="e">
        <f>#REF!+#REF!+#REF!+#REF!</f>
        <v>#REF!</v>
      </c>
      <c r="L10" s="24" t="e">
        <f>#REF!+#REF!+#REF!+#REF!</f>
        <v>#REF!</v>
      </c>
      <c r="M10" s="24" t="e">
        <f>#REF!+#REF!+#REF!+#REF!</f>
        <v>#REF!</v>
      </c>
      <c r="N10" s="24" t="e">
        <f>#REF!+#REF!+#REF!+#REF!</f>
        <v>#REF!</v>
      </c>
    </row>
    <row r="11" spans="2:14" ht="21.75" x14ac:dyDescent="0.5">
      <c r="B11" s="27" t="s">
        <v>16</v>
      </c>
      <c r="C11" s="21">
        <f>'مطالبات به تفکیک  بتاها '!D15+'مطالبات به تفکیک  بتاها '!D17+'مطالبات به تفکیک  بتاها '!D19</f>
        <v>536887412198</v>
      </c>
      <c r="D11" s="21">
        <f>'مطالبات به تفکیک  بتاها '!E15+'مطالبات به تفکیک  بتاها '!E17+'مطالبات به تفکیک  بتاها '!E19</f>
        <v>1035500000</v>
      </c>
      <c r="E11" s="21">
        <f>'مطالبات به تفکیک  بتاها '!F15+'مطالبات به تفکیک  بتاها '!F17+'مطالبات به تفکیک  بتاها '!F19</f>
        <v>44353135357</v>
      </c>
      <c r="F11" s="21">
        <f>'مطالبات به تفکیک  بتاها '!G15+'مطالبات به تفکیک  بتاها '!G17+'مطالبات به تفکیک  بتاها '!G19</f>
        <v>0</v>
      </c>
      <c r="G11" s="21">
        <f>'مطالبات به تفکیک  بتاها '!H15+'مطالبات به تفکیک  بتاها '!H17+'مطالبات به تفکیک  بتاها '!H19</f>
        <v>403449613713</v>
      </c>
      <c r="H11" s="21">
        <f>'مطالبات به تفکیک  بتاها '!I15+'مطالبات به تفکیک  بتاها '!I17+'مطالبات به تفکیک  بتاها '!I19</f>
        <v>88049163128</v>
      </c>
      <c r="I11" s="29" t="e">
        <f>#REF!+#REF!+#REF!</f>
        <v>#REF!</v>
      </c>
      <c r="J11" s="24" t="e">
        <f>#REF!+#REF!+#REF!</f>
        <v>#REF!</v>
      </c>
      <c r="K11" s="24" t="e">
        <f>#REF!+#REF!+#REF!</f>
        <v>#REF!</v>
      </c>
      <c r="L11" s="24" t="e">
        <f>#REF!+#REF!+#REF!</f>
        <v>#REF!</v>
      </c>
      <c r="M11" s="24" t="e">
        <f>#REF!+#REF!+#REF!</f>
        <v>#REF!</v>
      </c>
      <c r="N11" s="24" t="e">
        <f>#REF!+#REF!+#REF!</f>
        <v>#REF!</v>
      </c>
    </row>
    <row r="12" spans="2:14" ht="21.75" x14ac:dyDescent="0.5">
      <c r="B12" s="27" t="s">
        <v>29</v>
      </c>
      <c r="C12" s="21">
        <f>'مطالبات به تفکیک  بتاها '!D24+'مطالبات به تفکیک  بتاها '!D26</f>
        <v>32158478190</v>
      </c>
      <c r="D12" s="21">
        <f>'مطالبات به تفکیک  بتاها '!E24+'مطالبات به تفکیک  بتاها '!E26</f>
        <v>0</v>
      </c>
      <c r="E12" s="21">
        <f>'مطالبات به تفکیک  بتاها '!F24+'مطالبات به تفکیک  بتاها '!F26</f>
        <v>2733093150</v>
      </c>
      <c r="F12" s="21">
        <f>'مطالبات به تفکیک  بتاها '!G24+'مطالبات به تفکیک  بتاها '!G26</f>
        <v>0</v>
      </c>
      <c r="G12" s="21">
        <f>'مطالبات به تفکیک  بتاها '!H24+'مطالبات به تفکیک  بتاها '!H26</f>
        <v>25228561540</v>
      </c>
      <c r="H12" s="21">
        <f>'مطالبات به تفکیک  بتاها '!I24+'مطالبات به تفکیک  بتاها '!I26</f>
        <v>4196823500</v>
      </c>
      <c r="I12" s="29" t="e">
        <f>#REF!+#REF!</f>
        <v>#REF!</v>
      </c>
      <c r="J12" s="24" t="e">
        <f>#REF!+#REF!</f>
        <v>#REF!</v>
      </c>
      <c r="K12" s="24" t="e">
        <f>#REF!+#REF!</f>
        <v>#REF!</v>
      </c>
      <c r="L12" s="24" t="e">
        <f>#REF!+#REF!</f>
        <v>#REF!</v>
      </c>
      <c r="M12" s="24" t="e">
        <f>#REF!+#REF!</f>
        <v>#REF!</v>
      </c>
      <c r="N12" s="24" t="e">
        <f>#REF!+#REF!</f>
        <v>#REF!</v>
      </c>
    </row>
    <row r="13" spans="2:14" ht="21.75" x14ac:dyDescent="0.5">
      <c r="B13" s="27" t="s">
        <v>25</v>
      </c>
      <c r="C13" s="26">
        <f>SUM(C10:C12)</f>
        <v>729060575738</v>
      </c>
      <c r="D13" s="26">
        <f t="shared" ref="D13:N13" si="1">SUM(D10:D12)</f>
        <v>1035500000</v>
      </c>
      <c r="E13" s="26">
        <f t="shared" si="1"/>
        <v>74457818768</v>
      </c>
      <c r="F13" s="26">
        <f t="shared" si="1"/>
        <v>0</v>
      </c>
      <c r="G13" s="26">
        <f t="shared" si="1"/>
        <v>1125119459593</v>
      </c>
      <c r="H13" s="26">
        <f t="shared" si="1"/>
        <v>252260671978</v>
      </c>
      <c r="I13" s="17" t="e">
        <f t="shared" si="1"/>
        <v>#REF!</v>
      </c>
      <c r="J13" s="17" t="e">
        <f t="shared" si="1"/>
        <v>#REF!</v>
      </c>
      <c r="K13" s="17" t="e">
        <f t="shared" si="1"/>
        <v>#REF!</v>
      </c>
      <c r="L13" s="17" t="e">
        <f t="shared" si="1"/>
        <v>#REF!</v>
      </c>
      <c r="M13" s="17" t="e">
        <f t="shared" si="1"/>
        <v>#REF!</v>
      </c>
      <c r="N13" s="17" t="e">
        <f t="shared" si="1"/>
        <v>#REF!</v>
      </c>
    </row>
    <row r="14" spans="2:14" ht="21.75" x14ac:dyDescent="0.5">
      <c r="B14" s="25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2:14" ht="22.5" x14ac:dyDescent="0.55000000000000004">
      <c r="B15" s="38" t="s">
        <v>37</v>
      </c>
      <c r="C15" s="38"/>
      <c r="D15" s="38"/>
      <c r="E15" s="38"/>
      <c r="F15" s="38"/>
      <c r="G15" s="38"/>
      <c r="H15" s="38"/>
      <c r="I15" s="17"/>
      <c r="J15" s="17"/>
      <c r="K15" s="17"/>
      <c r="L15" s="17"/>
      <c r="M15" s="17"/>
      <c r="N15" s="17"/>
    </row>
    <row r="16" spans="2:14" ht="18" x14ac:dyDescent="0.4">
      <c r="B16" s="44" t="s">
        <v>28</v>
      </c>
      <c r="C16" s="45">
        <v>1403</v>
      </c>
      <c r="D16" s="45"/>
      <c r="E16" s="45"/>
      <c r="F16" s="45"/>
      <c r="G16" s="45"/>
      <c r="H16" s="45"/>
      <c r="I16" s="17"/>
      <c r="J16" s="17"/>
      <c r="K16" s="17"/>
      <c r="L16" s="17"/>
      <c r="M16" s="17"/>
      <c r="N16" s="17"/>
    </row>
    <row r="17" spans="1:14" ht="18" x14ac:dyDescent="0.4">
      <c r="B17" s="44"/>
      <c r="C17" s="19" t="s">
        <v>30</v>
      </c>
      <c r="D17" s="19" t="s">
        <v>31</v>
      </c>
      <c r="E17" s="20" t="s">
        <v>32</v>
      </c>
      <c r="F17" s="20" t="s">
        <v>33</v>
      </c>
      <c r="G17" s="20" t="s">
        <v>34</v>
      </c>
      <c r="H17" s="20" t="s">
        <v>35</v>
      </c>
      <c r="I17" s="17"/>
      <c r="J17" s="17"/>
      <c r="K17" s="17"/>
      <c r="L17" s="17"/>
      <c r="M17" s="17"/>
      <c r="N17" s="17"/>
    </row>
    <row r="18" spans="1:14" ht="21.75" x14ac:dyDescent="0.5">
      <c r="B18" s="27" t="s">
        <v>11</v>
      </c>
      <c r="C18" s="26">
        <f>'مطالبات به تفکیک  بتاها '!D5+'مطالبات به تفکیک  بتاها '!D7+'مطالبات به تفکیک  بتاها '!D9+'مطالبات به تفکیک  بتاها '!D11</f>
        <v>316988960920</v>
      </c>
      <c r="D18" s="26">
        <f>'مطالبات به تفکیک  بتاها '!E5+'مطالبات به تفکیک  بتاها '!E7+'مطالبات به تفکیک  بتاها '!E9+'مطالبات به تفکیک  بتاها '!E11</f>
        <v>0</v>
      </c>
      <c r="E18" s="26">
        <f>'مطالبات به تفکیک  بتاها '!F5+'مطالبات به تفکیک  بتاها '!F7+'مطالبات به تفکیک  بتاها '!F9+'مطالبات به تفکیک  بتاها '!F11</f>
        <v>0</v>
      </c>
      <c r="F18" s="26">
        <f>'مطالبات به تفکیک  بتاها '!G5+'مطالبات به تفکیک  بتاها '!G7+'مطالبات به تفکیک  بتاها '!G9+'مطالبات به تفکیک  بتاها '!G11</f>
        <v>0</v>
      </c>
      <c r="G18" s="26">
        <f>'مطالبات به تفکیک  بتاها '!H5+'مطالبات به تفکیک  بتاها '!H7+'مطالبات به تفکیک  بتاها '!H9+'مطالبات به تفکیک  بتاها '!H11</f>
        <v>149993416971</v>
      </c>
      <c r="H18" s="26">
        <f>'مطالبات به تفکیک  بتاها '!I5+'مطالبات به تفکیک  بتاها '!I7+'مطالبات به تفکیک  بتاها '!I9+'مطالبات به تفکیک  بتاها '!I11</f>
        <v>166995543949</v>
      </c>
      <c r="I18" s="17"/>
      <c r="J18" s="17"/>
      <c r="K18" s="17"/>
      <c r="L18" s="17"/>
      <c r="M18" s="17"/>
      <c r="N18" s="17"/>
    </row>
    <row r="19" spans="1:14" ht="21.75" x14ac:dyDescent="0.5">
      <c r="B19" s="27" t="s">
        <v>16</v>
      </c>
      <c r="C19" s="26">
        <f>'مطالبات به تفکیک  بتاها '!D16+'مطالبات به تفکیک  بتاها '!D18+'مطالبات به تفکیک  بتاها '!D20</f>
        <v>444617384404</v>
      </c>
      <c r="D19" s="26">
        <f>'مطالبات به تفکیک  بتاها '!E16+'مطالبات به تفکیک  بتاها '!E18+'مطالبات به تفکیک  بتاها '!E20</f>
        <v>0</v>
      </c>
      <c r="E19" s="26">
        <f>'مطالبات به تفکیک  بتاها '!F16+'مطالبات به تفکیک  بتاها '!F18+'مطالبات به تفکیک  بتاها '!F20</f>
        <v>26005200</v>
      </c>
      <c r="F19" s="26">
        <f>'مطالبات به تفکیک  بتاها '!G16+'مطالبات به تفکیک  بتاها '!G18+'مطالبات به تفکیک  بتاها '!G20</f>
        <v>0</v>
      </c>
      <c r="G19" s="26">
        <f>'مطالبات به تفکیک  بتاها '!H16+'مطالبات به تفکیک  بتاها '!H18+'مطالبات به تفکیک  بتاها '!H20</f>
        <v>203444233582</v>
      </c>
      <c r="H19" s="26">
        <f>'مطالبات به تفکیک  بتاها '!I16+'مطالبات به تفکیک  بتاها '!I18+'مطالبات به تفکیک  بتاها '!I20</f>
        <v>241147145622</v>
      </c>
      <c r="I19" s="17"/>
      <c r="J19" s="17"/>
      <c r="K19" s="17"/>
      <c r="L19" s="17"/>
      <c r="M19" s="17"/>
      <c r="N19" s="17"/>
    </row>
    <row r="20" spans="1:14" ht="21.75" x14ac:dyDescent="0.5">
      <c r="B20" s="27" t="s">
        <v>29</v>
      </c>
      <c r="C20" s="26">
        <f>'مطالبات به تفکیک  بتاها '!D25+'مطالبات به تفکیک  بتاها '!D27</f>
        <v>41130024100</v>
      </c>
      <c r="D20" s="26">
        <f>'مطالبات به تفکیک  بتاها '!E25+'مطالبات به تفکیک  بتاها '!E27</f>
        <v>0</v>
      </c>
      <c r="E20" s="26">
        <f>'مطالبات به تفکیک  بتاها '!F25+'مطالبات به تفکیک  بتاها '!F27</f>
        <v>0</v>
      </c>
      <c r="F20" s="26">
        <f>'مطالبات به تفکیک  بتاها '!G25+'مطالبات به تفکیک  بتاها '!G27</f>
        <v>0</v>
      </c>
      <c r="G20" s="26">
        <f>'مطالبات به تفکیک  بتاها '!H25+'مطالبات به تفکیک  بتاها '!H27</f>
        <v>12273812850</v>
      </c>
      <c r="H20" s="26">
        <f>'مطالبات به تفکیک  بتاها '!I25+'مطالبات به تفکیک  بتاها '!I27</f>
        <v>28856211250</v>
      </c>
      <c r="I20" s="17"/>
      <c r="J20" s="17"/>
      <c r="K20" s="17"/>
      <c r="L20" s="17"/>
      <c r="M20" s="17"/>
      <c r="N20" s="17"/>
    </row>
    <row r="21" spans="1:14" ht="21.75" x14ac:dyDescent="0.5">
      <c r="B21" s="27" t="s">
        <v>25</v>
      </c>
      <c r="C21" s="26">
        <f t="shared" ref="C21:H21" si="2">SUM(C18:C20)</f>
        <v>802736369424</v>
      </c>
      <c r="D21" s="26">
        <f t="shared" si="2"/>
        <v>0</v>
      </c>
      <c r="E21" s="26">
        <f t="shared" si="2"/>
        <v>26005200</v>
      </c>
      <c r="F21" s="26">
        <f t="shared" si="2"/>
        <v>0</v>
      </c>
      <c r="G21" s="26">
        <f t="shared" si="2"/>
        <v>365711463403</v>
      </c>
      <c r="H21" s="26">
        <f t="shared" si="2"/>
        <v>436998900821</v>
      </c>
      <c r="I21" s="17"/>
      <c r="J21" s="17"/>
      <c r="K21" s="17"/>
      <c r="L21" s="17"/>
      <c r="M21" s="17"/>
      <c r="N21" s="17"/>
    </row>
    <row r="22" spans="1:14" ht="21.75" x14ac:dyDescent="0.5">
      <c r="B22" s="25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x14ac:dyDescent="0.4">
      <c r="A23" s="12"/>
      <c r="B23" s="12"/>
    </row>
    <row r="24" spans="1:14" x14ac:dyDescent="0.4">
      <c r="A24" s="10" t="s">
        <v>6</v>
      </c>
      <c r="B24" s="10" t="s">
        <v>7</v>
      </c>
      <c r="C24" s="8" t="s">
        <v>8</v>
      </c>
      <c r="D24" s="3" t="s">
        <v>0</v>
      </c>
      <c r="E24" s="3" t="s">
        <v>1</v>
      </c>
      <c r="F24" s="3" t="s">
        <v>2</v>
      </c>
      <c r="G24" s="3" t="s">
        <v>3</v>
      </c>
      <c r="H24" s="3" t="s">
        <v>4</v>
      </c>
      <c r="I24" s="3" t="s">
        <v>5</v>
      </c>
      <c r="J24" s="7" t="s">
        <v>26</v>
      </c>
    </row>
    <row r="25" spans="1:14" x14ac:dyDescent="0.4">
      <c r="A25" s="36" t="s">
        <v>21</v>
      </c>
      <c r="B25" s="39" t="s">
        <v>22</v>
      </c>
      <c r="C25" s="6" t="s">
        <v>9</v>
      </c>
      <c r="D25" s="3">
        <f>[1]Sheet1!$D$54</f>
        <v>3349932214235</v>
      </c>
      <c r="E25" s="3">
        <f>[1]Sheet1!$E$54</f>
        <v>0</v>
      </c>
      <c r="F25" s="3">
        <f>[1]Sheet1!$F$54</f>
        <v>944136000</v>
      </c>
      <c r="G25" s="3">
        <f>[1]Sheet1!$G$54</f>
        <v>0</v>
      </c>
      <c r="H25" s="3">
        <f>[1]Sheet1!$H$54</f>
        <v>409149359631</v>
      </c>
      <c r="I25" s="3">
        <f>[1]Sheet1!$I$54</f>
        <v>2939838718604</v>
      </c>
      <c r="J25" s="3">
        <f>I25</f>
        <v>2939838718604</v>
      </c>
    </row>
    <row r="26" spans="1:14" x14ac:dyDescent="0.4">
      <c r="A26" s="37"/>
      <c r="B26" s="40"/>
      <c r="C26" s="6" t="s">
        <v>10</v>
      </c>
      <c r="D26" s="3">
        <f>[2]Sheet1!$D$25</f>
        <v>2660379770745</v>
      </c>
      <c r="E26" s="3">
        <f>[2]Sheet1!$E$25</f>
        <v>0</v>
      </c>
      <c r="F26" s="3">
        <f>[2]Sheet1!$F$25</f>
        <v>40560000</v>
      </c>
      <c r="G26" s="3">
        <f>[2]Sheet1!$G$25</f>
        <v>0</v>
      </c>
      <c r="H26" s="3">
        <f>[2]Sheet1!$H$25</f>
        <v>151009286163</v>
      </c>
      <c r="I26" s="3">
        <f>[2]Sheet1!$I$25</f>
        <v>2509329924582</v>
      </c>
      <c r="J26" s="3">
        <f>I26</f>
        <v>2509329924582</v>
      </c>
    </row>
    <row r="27" spans="1:14" x14ac:dyDescent="0.4">
      <c r="A27" s="33" t="s">
        <v>25</v>
      </c>
      <c r="B27" s="34"/>
      <c r="C27" s="35"/>
      <c r="D27" s="3">
        <f t="shared" ref="D27:J27" si="3">SUM(D25:D26)</f>
        <v>6010311984980</v>
      </c>
      <c r="E27" s="3">
        <f t="shared" si="3"/>
        <v>0</v>
      </c>
      <c r="F27" s="3">
        <f t="shared" si="3"/>
        <v>984696000</v>
      </c>
      <c r="G27" s="3">
        <f t="shared" si="3"/>
        <v>0</v>
      </c>
      <c r="H27" s="3">
        <f t="shared" si="3"/>
        <v>560158645794</v>
      </c>
      <c r="I27" s="3">
        <f t="shared" si="3"/>
        <v>5449168643186</v>
      </c>
      <c r="J27" s="3">
        <f t="shared" si="3"/>
        <v>5449168643186</v>
      </c>
    </row>
  </sheetData>
  <mergeCells count="11">
    <mergeCell ref="C2:H2"/>
    <mergeCell ref="I8:N8"/>
    <mergeCell ref="B8:B9"/>
    <mergeCell ref="B16:B17"/>
    <mergeCell ref="C16:H16"/>
    <mergeCell ref="C8:H8"/>
    <mergeCell ref="A27:C27"/>
    <mergeCell ref="A25:A26"/>
    <mergeCell ref="B7:H7"/>
    <mergeCell ref="B15:H15"/>
    <mergeCell ref="B25:B26"/>
  </mergeCells>
  <pageMargins left="0.7" right="0.7" top="0.75" bottom="0.75" header="0.3" footer="0.3"/>
  <pageSetup paperSize="9"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6FB1-6C31-484F-95D3-E1BEC06B4FF0}">
  <dimension ref="A2:L33"/>
  <sheetViews>
    <sheetView rightToLeft="1" topLeftCell="B1" workbookViewId="0">
      <selection activeCell="B4" sqref="B4:B5"/>
    </sheetView>
  </sheetViews>
  <sheetFormatPr defaultColWidth="9" defaultRowHeight="17.25" x14ac:dyDescent="0.4"/>
  <cols>
    <col min="1" max="1" width="7.85546875" style="1" bestFit="1" customWidth="1"/>
    <col min="2" max="2" width="34.28515625" style="1" bestFit="1" customWidth="1"/>
    <col min="3" max="3" width="8.140625" style="9" customWidth="1"/>
    <col min="4" max="4" width="14" style="2" bestFit="1" customWidth="1"/>
    <col min="5" max="5" width="10.85546875" style="2" bestFit="1" customWidth="1"/>
    <col min="6" max="6" width="11.7109375" style="2" bestFit="1" customWidth="1"/>
    <col min="7" max="8" width="12.5703125" style="2" bestFit="1" customWidth="1"/>
    <col min="9" max="9" width="14" style="2" bestFit="1" customWidth="1"/>
    <col min="10" max="10" width="16.5703125" style="1" bestFit="1" customWidth="1"/>
    <col min="11" max="11" width="12.140625" style="1" customWidth="1"/>
    <col min="12" max="16384" width="9" style="1"/>
  </cols>
  <sheetData>
    <row r="2" spans="1:10" ht="22.5" thickBot="1" x14ac:dyDescent="0.55000000000000004">
      <c r="A2" s="46" t="s">
        <v>27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x14ac:dyDescent="0.4">
      <c r="A3" s="4" t="s">
        <v>6</v>
      </c>
      <c r="B3" s="4" t="s">
        <v>7</v>
      </c>
      <c r="C3" s="15" t="s">
        <v>8</v>
      </c>
      <c r="D3" s="5" t="s">
        <v>0</v>
      </c>
      <c r="E3" s="5" t="s">
        <v>1</v>
      </c>
      <c r="F3" s="5" t="s">
        <v>2</v>
      </c>
      <c r="G3" s="5" t="s">
        <v>3</v>
      </c>
      <c r="H3" s="5" t="s">
        <v>4</v>
      </c>
      <c r="I3" s="3" t="s">
        <v>5</v>
      </c>
      <c r="J3" s="7" t="s">
        <v>26</v>
      </c>
    </row>
    <row r="4" spans="1:10" x14ac:dyDescent="0.4">
      <c r="A4" s="36" t="s">
        <v>11</v>
      </c>
      <c r="B4" s="39" t="s">
        <v>12</v>
      </c>
      <c r="C4" s="6" t="s">
        <v>9</v>
      </c>
      <c r="D4" s="3">
        <f>SUM([3]Sheet1!$D$2:$D$64)</f>
        <v>276417686720</v>
      </c>
      <c r="E4" s="3">
        <f>SUM([3]Sheet1!$E$2:$E$64)</f>
        <v>0</v>
      </c>
      <c r="F4" s="3">
        <f>SUM([3]Sheet1!$F$2:$F$64)</f>
        <v>1198710000</v>
      </c>
      <c r="G4" s="3">
        <f>SUM([4]Sheet1!$G$2:$G$25)</f>
        <v>0</v>
      </c>
      <c r="H4" s="3">
        <f>SUM([3]Sheet1!$H$2:$H$64)</f>
        <v>158060938059</v>
      </c>
      <c r="I4" s="3">
        <f>SUM([3]Sheet1!$I$2:$I$64)</f>
        <v>117158038661</v>
      </c>
      <c r="J4" s="48">
        <f>I4+I5</f>
        <v>155714739761</v>
      </c>
    </row>
    <row r="5" spans="1:10" x14ac:dyDescent="0.4">
      <c r="A5" s="47"/>
      <c r="B5" s="40"/>
      <c r="C5" s="6" t="s">
        <v>10</v>
      </c>
      <c r="D5" s="3">
        <f>SUM([4]Sheet1!$D$2:$D$25)</f>
        <v>86087848200</v>
      </c>
      <c r="E5" s="3">
        <f>SUM([4]Sheet1!$E$2:$E$25)</f>
        <v>0</v>
      </c>
      <c r="F5" s="3">
        <f>SUM([4]Sheet1!$F$2:$F$25)</f>
        <v>0</v>
      </c>
      <c r="G5" s="3">
        <f>SUM([4]Sheet1!$G$2:$G$25)</f>
        <v>0</v>
      </c>
      <c r="H5" s="3">
        <f>SUM([4]Sheet1!$H$2:$H$25)</f>
        <v>47531147100</v>
      </c>
      <c r="I5" s="3">
        <f>SUM([4]Sheet1!$I$2:$I$25)</f>
        <v>38556701100</v>
      </c>
      <c r="J5" s="49"/>
    </row>
    <row r="6" spans="1:10" x14ac:dyDescent="0.4">
      <c r="A6" s="47"/>
      <c r="B6" s="39" t="s">
        <v>13</v>
      </c>
      <c r="C6" s="6" t="s">
        <v>9</v>
      </c>
      <c r="D6" s="3">
        <f>SUM([5]Sheet1!$D$2:$D$80)</f>
        <v>158507390290</v>
      </c>
      <c r="E6" s="3">
        <f>SUM([5]Sheet1!$E$2:$E$80)</f>
        <v>0</v>
      </c>
      <c r="F6" s="3">
        <f>SUM([5]Sheet1!$F$2:$F$80)</f>
        <v>352725000</v>
      </c>
      <c r="G6" s="3">
        <f>SUM([5]Sheet1!$G$2:$G$80)</f>
        <v>0</v>
      </c>
      <c r="H6" s="3">
        <f>SUM([5]Sheet1!$H$2:$H$80)</f>
        <v>146068692960</v>
      </c>
      <c r="I6" s="3">
        <f>SUM([5]Sheet1!$I$2:$I$80)</f>
        <v>12085972330</v>
      </c>
      <c r="J6" s="50">
        <f>I6+I7</f>
        <v>12085972330</v>
      </c>
    </row>
    <row r="7" spans="1:10" x14ac:dyDescent="0.4">
      <c r="A7" s="47"/>
      <c r="B7" s="40"/>
      <c r="C7" s="6" t="s">
        <v>10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51"/>
    </row>
    <row r="8" spans="1:10" x14ac:dyDescent="0.4">
      <c r="A8" s="47"/>
      <c r="B8" s="39" t="s">
        <v>14</v>
      </c>
      <c r="C8" s="6" t="s">
        <v>9</v>
      </c>
      <c r="D8" s="3">
        <f>SUM([6]Sheet1!$D$2:$D$33)</f>
        <v>250566197595</v>
      </c>
      <c r="E8" s="3">
        <f>SUM([6]Sheet1!$E$2:$E$33)</f>
        <v>0</v>
      </c>
      <c r="F8" s="3">
        <f>SUM([6]Sheet1!$F$2:$F$33)</f>
        <v>19170153180</v>
      </c>
      <c r="G8" s="3">
        <f>SUM([6]Sheet1!$G$2:$G$33)</f>
        <v>0</v>
      </c>
      <c r="H8" s="3">
        <f>SUM([6]Sheet1!$H$2:$H$33)</f>
        <v>230487200815</v>
      </c>
      <c r="I8" s="3">
        <f>SUM([6]Sheet1!$I$2:$I$33)</f>
        <v>908843600</v>
      </c>
      <c r="J8" s="50">
        <f>I8+I9</f>
        <v>71249090742</v>
      </c>
    </row>
    <row r="9" spans="1:10" x14ac:dyDescent="0.4">
      <c r="A9" s="47"/>
      <c r="B9" s="40"/>
      <c r="C9" s="6" t="s">
        <v>10</v>
      </c>
      <c r="D9" s="3">
        <f>SUM([7]Sheet1!$D$2:$D$18)</f>
        <v>120411817542</v>
      </c>
      <c r="E9" s="3">
        <f>SUM([7]Sheet1!$E$2:$E$18)</f>
        <v>0</v>
      </c>
      <c r="F9" s="3">
        <f>SUM([7]Sheet1!$F$2:$F$18)</f>
        <v>0</v>
      </c>
      <c r="G9" s="3">
        <f>SUM([7]Sheet1!$G$2:$G$18)</f>
        <v>0</v>
      </c>
      <c r="H9" s="3">
        <f>SUM([7]Sheet1!$H$2:$H$18)</f>
        <v>50071570400</v>
      </c>
      <c r="I9" s="3">
        <f>SUM([7]Sheet1!$I$2:$I$18)</f>
        <v>70340247142</v>
      </c>
      <c r="J9" s="51"/>
    </row>
    <row r="10" spans="1:10" x14ac:dyDescent="0.4">
      <c r="A10" s="47"/>
      <c r="B10" s="39" t="s">
        <v>15</v>
      </c>
      <c r="C10" s="6" t="s">
        <v>9</v>
      </c>
      <c r="D10" s="3">
        <f>SUM([8]Sheet1!$D$2:$D$285)</f>
        <v>198336285346</v>
      </c>
      <c r="E10" s="3">
        <f>SUM([8]Sheet1!$E$2:$E$285)</f>
        <v>0</v>
      </c>
      <c r="F10" s="3">
        <f>SUM([8]Sheet1!$F$2:$F$285)</f>
        <v>6650002081</v>
      </c>
      <c r="G10" s="3">
        <f>SUM([8]Sheet1!$G$2:$G$285)</f>
        <v>0</v>
      </c>
      <c r="H10" s="3">
        <f>SUM([8]Sheet1!$H$2:$H$285)</f>
        <v>161824452506</v>
      </c>
      <c r="I10" s="3">
        <f>SUM([8]Sheet1!$I$2:$I$285)</f>
        <v>29861830759</v>
      </c>
      <c r="J10" s="50">
        <f>I10+I11</f>
        <v>87960426466</v>
      </c>
    </row>
    <row r="11" spans="1:10" x14ac:dyDescent="0.4">
      <c r="A11" s="37"/>
      <c r="B11" s="40"/>
      <c r="C11" s="6" t="s">
        <v>10</v>
      </c>
      <c r="D11" s="3">
        <f>SUM([9]Sheet1!$D$2:$D$137)</f>
        <v>110489295178</v>
      </c>
      <c r="E11" s="3">
        <f>SUM([9]Sheet1!$E$2:$E$137)</f>
        <v>0</v>
      </c>
      <c r="F11" s="3">
        <f>SUM([9]Sheet1!$F$2:$F$137)</f>
        <v>0</v>
      </c>
      <c r="G11" s="3">
        <f>SUM([9]Sheet1!$G$2:$G$137)</f>
        <v>0</v>
      </c>
      <c r="H11" s="3">
        <f>SUM([9]Sheet1!$H$2:$H$137)</f>
        <v>52390699471</v>
      </c>
      <c r="I11" s="3">
        <f>SUM([9]Sheet1!$I$2:$I$137)</f>
        <v>58098595707</v>
      </c>
      <c r="J11" s="51"/>
    </row>
    <row r="12" spans="1:10" ht="21.75" x14ac:dyDescent="0.5">
      <c r="A12" s="12"/>
      <c r="B12" s="12"/>
      <c r="J12" s="18">
        <f>SUM(J4:J11)</f>
        <v>327010229299</v>
      </c>
    </row>
    <row r="13" spans="1:10" ht="18" thickBot="1" x14ac:dyDescent="0.45">
      <c r="A13" s="12"/>
      <c r="B13" s="12"/>
    </row>
    <row r="14" spans="1:10" x14ac:dyDescent="0.4">
      <c r="A14" s="13" t="s">
        <v>6</v>
      </c>
      <c r="B14" s="13" t="s">
        <v>7</v>
      </c>
      <c r="C14" s="15" t="s">
        <v>8</v>
      </c>
      <c r="D14" s="5" t="s">
        <v>0</v>
      </c>
      <c r="E14" s="5" t="s">
        <v>1</v>
      </c>
      <c r="F14" s="5" t="s">
        <v>2</v>
      </c>
      <c r="G14" s="5" t="s">
        <v>3</v>
      </c>
      <c r="H14" s="5" t="s">
        <v>4</v>
      </c>
      <c r="I14" s="3" t="s">
        <v>5</v>
      </c>
      <c r="J14" s="7" t="s">
        <v>26</v>
      </c>
    </row>
    <row r="15" spans="1:10" x14ac:dyDescent="0.4">
      <c r="A15" s="36" t="s">
        <v>16</v>
      </c>
      <c r="B15" s="39" t="s">
        <v>17</v>
      </c>
      <c r="C15" s="6" t="s">
        <v>9</v>
      </c>
      <c r="D15" s="11">
        <f>SUM([10]Sheet1!$D$2:$D$94)</f>
        <v>149566388411</v>
      </c>
      <c r="E15" s="11">
        <f>SUM([10]Sheet1!$E$2:$E$94)</f>
        <v>1035500000</v>
      </c>
      <c r="F15" s="11">
        <f>SUM([10]Sheet1!$F$2:$F$94)</f>
        <v>5904302119</v>
      </c>
      <c r="G15" s="11">
        <f>SUM([10]Sheet1!$G$2:$G$94)</f>
        <v>0</v>
      </c>
      <c r="H15" s="11">
        <f>SUM([10]Sheet1!$H$2:$H$94)</f>
        <v>88429487901</v>
      </c>
      <c r="I15" s="11">
        <f>SUM([10]Sheet1!$I$2:$I$94)</f>
        <v>54197098391</v>
      </c>
      <c r="J15" s="50">
        <f>I15+I16</f>
        <v>224933357269</v>
      </c>
    </row>
    <row r="16" spans="1:10" x14ac:dyDescent="0.4">
      <c r="A16" s="47"/>
      <c r="B16" s="40"/>
      <c r="C16" s="6" t="s">
        <v>10</v>
      </c>
      <c r="D16" s="11">
        <f>SUM([11]Sheet1!$D$2:$D$79)</f>
        <v>343261406123</v>
      </c>
      <c r="E16" s="11">
        <f>SUM([11]Sheet1!$E$2:$E$79)</f>
        <v>0</v>
      </c>
      <c r="F16" s="11">
        <f>SUM([11]Sheet1!$F$2:$F$79)</f>
        <v>26005200</v>
      </c>
      <c r="G16" s="11">
        <f>SUM([11]Sheet1!$G$2:$G$79)</f>
        <v>0</v>
      </c>
      <c r="H16" s="11">
        <f>SUM([11]Sheet1!$H$2:$H$79)</f>
        <v>172499142045</v>
      </c>
      <c r="I16" s="11">
        <f>SUM([11]Sheet1!$I$2:$I$79)</f>
        <v>170736258878</v>
      </c>
      <c r="J16" s="52"/>
    </row>
    <row r="17" spans="1:12" x14ac:dyDescent="0.4">
      <c r="A17" s="47"/>
      <c r="B17" s="39" t="s">
        <v>18</v>
      </c>
      <c r="C17" s="6" t="s">
        <v>9</v>
      </c>
      <c r="D17" s="11">
        <f>SUM([12]Sheet1!$D$2:$D$48)</f>
        <v>288534462203</v>
      </c>
      <c r="E17" s="11">
        <f>SUM([12]Sheet1!$E$2:$E$48)</f>
        <v>0</v>
      </c>
      <c r="F17" s="11">
        <f>SUM([12]Sheet1!$F$2:$F$48)</f>
        <v>28445842695</v>
      </c>
      <c r="G17" s="11">
        <f>SUM([12]Sheet1!$G$2:$G$48)</f>
        <v>0</v>
      </c>
      <c r="H17" s="11">
        <f>SUM([12]Sheet1!$H$2:$H$48)</f>
        <v>232968950598</v>
      </c>
      <c r="I17" s="11">
        <f>SUM([12]Sheet1!$I$2:$I$48)</f>
        <v>27119668910</v>
      </c>
      <c r="J17" s="50">
        <f>I17+I18</f>
        <v>81354104897</v>
      </c>
    </row>
    <row r="18" spans="1:12" x14ac:dyDescent="0.4">
      <c r="A18" s="47"/>
      <c r="B18" s="40"/>
      <c r="C18" s="6" t="s">
        <v>10</v>
      </c>
      <c r="D18" s="11">
        <f>SUM([13]Sheet1!$D$2:$D$17)</f>
        <v>78480841862</v>
      </c>
      <c r="E18" s="11">
        <f>SUM([13]Sheet1!$E$2:$E$17)</f>
        <v>0</v>
      </c>
      <c r="F18" s="11">
        <f>SUM([13]Sheet1!$F$2:$F$17)</f>
        <v>0</v>
      </c>
      <c r="G18" s="11">
        <f>SUM([13]Sheet1!$G$2:$G$17)</f>
        <v>0</v>
      </c>
      <c r="H18" s="11">
        <f>SUM([13]Sheet1!$H$2:$H$17)</f>
        <v>24246405875</v>
      </c>
      <c r="I18" s="11">
        <f>SUM([13]Sheet1!$I$2:$I$17)</f>
        <v>54234435987</v>
      </c>
      <c r="J18" s="51"/>
    </row>
    <row r="19" spans="1:12" x14ac:dyDescent="0.4">
      <c r="A19" s="47"/>
      <c r="B19" s="39" t="s">
        <v>19</v>
      </c>
      <c r="C19" s="6" t="s">
        <v>9</v>
      </c>
      <c r="D19" s="11">
        <f>SUM([14]Sheet1!$D$2:$D$26)</f>
        <v>98786561584</v>
      </c>
      <c r="E19" s="11">
        <f>SUM([14]Sheet1!$E$2:$E$26)</f>
        <v>0</v>
      </c>
      <c r="F19" s="11">
        <f>SUM([14]Sheet1!$F$2:$F$26)</f>
        <v>10002990543</v>
      </c>
      <c r="G19" s="11">
        <f>SUM([14]Sheet1!$G$2:$G$26)</f>
        <v>0</v>
      </c>
      <c r="H19" s="11">
        <f>SUM([14]Sheet1!$H$2:$H$26)</f>
        <v>82051175214</v>
      </c>
      <c r="I19" s="11">
        <f>SUM([14]Sheet1!$I$2:$I$26)</f>
        <v>6732395827</v>
      </c>
      <c r="J19" s="50">
        <f>I19+I20</f>
        <v>22908846584</v>
      </c>
      <c r="L19" s="1" t="s">
        <v>39</v>
      </c>
    </row>
    <row r="20" spans="1:12" x14ac:dyDescent="0.4">
      <c r="A20" s="37"/>
      <c r="B20" s="40"/>
      <c r="C20" s="6" t="s">
        <v>10</v>
      </c>
      <c r="D20" s="11">
        <f>SUM([15]Sheet1!$D$2:$D$7)</f>
        <v>22875136419</v>
      </c>
      <c r="E20" s="11">
        <f>SUM([15]Sheet1!$E$2:$E$7)</f>
        <v>0</v>
      </c>
      <c r="F20" s="11">
        <f>SUM([15]Sheet1!$F$2:$F$7)</f>
        <v>0</v>
      </c>
      <c r="G20" s="11">
        <f>SUM([15]Sheet1!$G$2:$G$7)</f>
        <v>0</v>
      </c>
      <c r="H20" s="11">
        <f>SUM([15]Sheet1!$H$2:$H$7)</f>
        <v>6698685662</v>
      </c>
      <c r="I20" s="11">
        <f>SUM([15]Sheet1!$I$2:$I$7)</f>
        <v>16176450757</v>
      </c>
      <c r="J20" s="51"/>
    </row>
    <row r="21" spans="1:12" ht="21.75" x14ac:dyDescent="0.5">
      <c r="A21" s="14"/>
      <c r="B21" s="14"/>
      <c r="C21" s="16"/>
      <c r="J21" s="18">
        <f>SUM(J15:J20)</f>
        <v>329196308750</v>
      </c>
    </row>
    <row r="22" spans="1:12" ht="18" thickBot="1" x14ac:dyDescent="0.45">
      <c r="A22" s="12"/>
      <c r="B22" s="12"/>
    </row>
    <row r="23" spans="1:12" x14ac:dyDescent="0.4">
      <c r="A23" s="13" t="s">
        <v>6</v>
      </c>
      <c r="B23" s="13" t="s">
        <v>7</v>
      </c>
      <c r="C23" s="15" t="s">
        <v>8</v>
      </c>
      <c r="D23" s="5" t="s">
        <v>0</v>
      </c>
      <c r="E23" s="5" t="s">
        <v>1</v>
      </c>
      <c r="F23" s="5" t="s">
        <v>2</v>
      </c>
      <c r="G23" s="5" t="s">
        <v>3</v>
      </c>
      <c r="H23" s="5" t="s">
        <v>4</v>
      </c>
      <c r="I23" s="31" t="s">
        <v>5</v>
      </c>
      <c r="J23" s="7" t="s">
        <v>26</v>
      </c>
    </row>
    <row r="24" spans="1:12" x14ac:dyDescent="0.4">
      <c r="A24" s="36" t="s">
        <v>20</v>
      </c>
      <c r="B24" s="39" t="s">
        <v>23</v>
      </c>
      <c r="C24" s="6" t="s">
        <v>9</v>
      </c>
      <c r="D24" s="3">
        <f>SUM([16]Sheet1!$D$2:$D$8)</f>
        <v>13065222870</v>
      </c>
      <c r="E24" s="3">
        <f>SUM([16]Sheet1!$E$2:$E$8)</f>
        <v>0</v>
      </c>
      <c r="F24" s="3">
        <f>SUM([16]Sheet1!$F$2:$F$8)</f>
        <v>730092825</v>
      </c>
      <c r="G24" s="3">
        <f>SUM([16]Sheet1!$G$2:$G$8)</f>
        <v>0</v>
      </c>
      <c r="H24" s="3">
        <f>SUM([16]Sheet1!$H$2:$H$8)</f>
        <v>8444969870</v>
      </c>
      <c r="I24" s="32">
        <f>SUM([16]Sheet1!$I$2:$I$8)</f>
        <v>3890160175</v>
      </c>
      <c r="J24" s="48">
        <f>I24+I25</f>
        <v>3890160175</v>
      </c>
    </row>
    <row r="25" spans="1:12" x14ac:dyDescent="0.4">
      <c r="A25" s="47"/>
      <c r="B25" s="40"/>
      <c r="C25" s="6" t="s">
        <v>10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2">
        <v>0</v>
      </c>
      <c r="J25" s="48"/>
    </row>
    <row r="26" spans="1:12" x14ac:dyDescent="0.4">
      <c r="A26" s="47"/>
      <c r="B26" s="39" t="s">
        <v>24</v>
      </c>
      <c r="C26" s="6" t="s">
        <v>9</v>
      </c>
      <c r="D26" s="3">
        <f>SUM([17]Sheet1!$D$2:$D$7)</f>
        <v>19093255320</v>
      </c>
      <c r="E26" s="3">
        <f>SUM([17]Sheet1!$E$2:$E$7)</f>
        <v>0</v>
      </c>
      <c r="F26" s="3">
        <f>SUM([17]Sheet1!$F$2:$F$7)</f>
        <v>2003000325</v>
      </c>
      <c r="G26" s="3">
        <f>SUM([17]Sheet1!$G$2:$G$7)</f>
        <v>0</v>
      </c>
      <c r="H26" s="3">
        <f>SUM([17]Sheet1!$H$2:$H$7)</f>
        <v>16783591670</v>
      </c>
      <c r="I26" s="32">
        <f>SUM([17]Sheet1!$I$2:$I$7)</f>
        <v>306663325</v>
      </c>
      <c r="J26" s="48">
        <f>I26+I27</f>
        <v>29162874575</v>
      </c>
    </row>
    <row r="27" spans="1:12" x14ac:dyDescent="0.4">
      <c r="A27" s="37"/>
      <c r="B27" s="40"/>
      <c r="C27" s="6" t="s">
        <v>10</v>
      </c>
      <c r="D27" s="3">
        <f>SUM([18]Sheet1!$D$2:$D$9)</f>
        <v>41130024100</v>
      </c>
      <c r="E27" s="3">
        <f>SUM([18]Sheet1!$E$2:$E$9)</f>
        <v>0</v>
      </c>
      <c r="F27" s="3">
        <f>SUM([18]Sheet1!$F$2:$F$9)</f>
        <v>0</v>
      </c>
      <c r="G27" s="3">
        <f>SUM([18]Sheet1!$G$2:$G$9)</f>
        <v>0</v>
      </c>
      <c r="H27" s="3">
        <f>SUM([18]Sheet1!$H$2:$H$9)</f>
        <v>12273812850</v>
      </c>
      <c r="I27" s="32">
        <f>SUM([18]Sheet1!$I$2:$I$9)</f>
        <v>28856211250</v>
      </c>
      <c r="J27" s="49"/>
    </row>
    <row r="28" spans="1:12" ht="21.75" x14ac:dyDescent="0.5">
      <c r="A28" s="14"/>
      <c r="B28" s="14"/>
      <c r="C28" s="16"/>
      <c r="J28" s="18">
        <f>SUM(J24:J27)</f>
        <v>33053034750</v>
      </c>
    </row>
    <row r="29" spans="1:12" x14ac:dyDescent="0.4">
      <c r="A29" s="14"/>
      <c r="B29" s="14"/>
      <c r="C29" s="16"/>
      <c r="J29" s="12"/>
    </row>
    <row r="30" spans="1:12" x14ac:dyDescent="0.4">
      <c r="A30" s="10" t="s">
        <v>6</v>
      </c>
      <c r="B30" s="10" t="s">
        <v>7</v>
      </c>
      <c r="C30" s="8" t="s">
        <v>8</v>
      </c>
      <c r="D30" s="3" t="s">
        <v>0</v>
      </c>
      <c r="E30" s="3" t="s">
        <v>1</v>
      </c>
      <c r="F30" s="3" t="s">
        <v>2</v>
      </c>
      <c r="G30" s="3" t="s">
        <v>3</v>
      </c>
      <c r="H30" s="3" t="s">
        <v>4</v>
      </c>
      <c r="I30" s="3" t="s">
        <v>5</v>
      </c>
      <c r="J30" s="8" t="s">
        <v>26</v>
      </c>
    </row>
    <row r="31" spans="1:12" x14ac:dyDescent="0.4">
      <c r="A31" s="36" t="s">
        <v>21</v>
      </c>
      <c r="B31" s="39" t="s">
        <v>22</v>
      </c>
      <c r="C31" s="6" t="s">
        <v>9</v>
      </c>
      <c r="D31" s="3">
        <f>[1]Sheet1!$D$54</f>
        <v>3349932214235</v>
      </c>
      <c r="E31" s="3">
        <f>[1]Sheet1!$E$54</f>
        <v>0</v>
      </c>
      <c r="F31" s="3">
        <f>[1]Sheet1!$F$54</f>
        <v>944136000</v>
      </c>
      <c r="G31" s="3">
        <f>[1]Sheet1!$G$54</f>
        <v>0</v>
      </c>
      <c r="H31" s="3">
        <f>[1]Sheet1!$H$54</f>
        <v>409149359631</v>
      </c>
      <c r="I31" s="3">
        <f>[1]Sheet1!$I$54</f>
        <v>2939838718604</v>
      </c>
      <c r="J31" s="11">
        <f>I31</f>
        <v>2939838718604</v>
      </c>
    </row>
    <row r="32" spans="1:12" x14ac:dyDescent="0.4">
      <c r="A32" s="37"/>
      <c r="B32" s="40"/>
      <c r="C32" s="6" t="s">
        <v>10</v>
      </c>
      <c r="D32" s="3">
        <f>[2]Sheet1!$D$25</f>
        <v>2660379770745</v>
      </c>
      <c r="E32" s="3">
        <f>[2]Sheet1!$E$25</f>
        <v>0</v>
      </c>
      <c r="F32" s="3">
        <f>[2]Sheet1!$F$25</f>
        <v>40560000</v>
      </c>
      <c r="G32" s="3">
        <f>[2]Sheet1!$G$25</f>
        <v>0</v>
      </c>
      <c r="H32" s="3">
        <f>[2]Sheet1!$H$25</f>
        <v>151009286163</v>
      </c>
      <c r="I32" s="3">
        <f>[2]Sheet1!$I$25</f>
        <v>2509329924582</v>
      </c>
      <c r="J32" s="11">
        <f>I32</f>
        <v>2509329924582</v>
      </c>
    </row>
    <row r="33" spans="1:10" x14ac:dyDescent="0.4">
      <c r="A33" s="33" t="s">
        <v>25</v>
      </c>
      <c r="B33" s="34"/>
      <c r="C33" s="35"/>
      <c r="D33" s="3">
        <f t="shared" ref="D33:J33" si="0">SUM(D31:D32)</f>
        <v>6010311984980</v>
      </c>
      <c r="E33" s="3">
        <f t="shared" si="0"/>
        <v>0</v>
      </c>
      <c r="F33" s="3">
        <f t="shared" si="0"/>
        <v>984696000</v>
      </c>
      <c r="G33" s="3">
        <f t="shared" si="0"/>
        <v>0</v>
      </c>
      <c r="H33" s="3">
        <f t="shared" si="0"/>
        <v>560158645794</v>
      </c>
      <c r="I33" s="3">
        <f t="shared" si="0"/>
        <v>5449168643186</v>
      </c>
      <c r="J33" s="11">
        <f t="shared" si="0"/>
        <v>5449168643186</v>
      </c>
    </row>
  </sheetData>
  <mergeCells count="25">
    <mergeCell ref="A33:C33"/>
    <mergeCell ref="A24:A27"/>
    <mergeCell ref="B24:B25"/>
    <mergeCell ref="J24:J25"/>
    <mergeCell ref="B26:B27"/>
    <mergeCell ref="J26:J27"/>
    <mergeCell ref="A31:A32"/>
    <mergeCell ref="B31:B32"/>
    <mergeCell ref="A15:A20"/>
    <mergeCell ref="B15:B16"/>
    <mergeCell ref="J15:J16"/>
    <mergeCell ref="B17:B18"/>
    <mergeCell ref="J17:J18"/>
    <mergeCell ref="B19:B20"/>
    <mergeCell ref="J19:J20"/>
    <mergeCell ref="A2:J2"/>
    <mergeCell ref="A4:A11"/>
    <mergeCell ref="B4:B5"/>
    <mergeCell ref="J4:J5"/>
    <mergeCell ref="B6:B7"/>
    <mergeCell ref="J6:J7"/>
    <mergeCell ref="B8:B9"/>
    <mergeCell ref="J8:J9"/>
    <mergeCell ref="B10:B11"/>
    <mergeCell ref="J10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0EA3-4DCA-4B8E-933C-7D18FD141CD3}">
  <dimension ref="A1:J11"/>
  <sheetViews>
    <sheetView rightToLeft="1" topLeftCell="B1" workbookViewId="0">
      <selection activeCell="C7" sqref="C7:D7"/>
    </sheetView>
  </sheetViews>
  <sheetFormatPr defaultColWidth="9" defaultRowHeight="17.25" x14ac:dyDescent="0.4"/>
  <cols>
    <col min="1" max="1" width="7.85546875" style="1" bestFit="1" customWidth="1"/>
    <col min="2" max="2" width="34.28515625" style="1" bestFit="1" customWidth="1"/>
    <col min="3" max="3" width="8.140625" style="9" customWidth="1"/>
    <col min="4" max="4" width="14" style="2" bestFit="1" customWidth="1"/>
    <col min="5" max="5" width="10.85546875" style="2" bestFit="1" customWidth="1"/>
    <col min="6" max="6" width="11.7109375" style="2" bestFit="1" customWidth="1"/>
    <col min="7" max="8" width="12.5703125" style="2" bestFit="1" customWidth="1"/>
    <col min="9" max="9" width="14" style="2" bestFit="1" customWidth="1"/>
    <col min="10" max="10" width="16.5703125" style="1" bestFit="1" customWidth="1"/>
    <col min="11" max="11" width="12.140625" style="1" customWidth="1"/>
    <col min="12" max="16384" width="9" style="1"/>
  </cols>
  <sheetData>
    <row r="1" spans="1:10" x14ac:dyDescent="0.4">
      <c r="B1" s="4" t="s">
        <v>7</v>
      </c>
      <c r="C1" s="15" t="s">
        <v>8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3" t="s">
        <v>5</v>
      </c>
      <c r="J1" s="7" t="s">
        <v>26</v>
      </c>
    </row>
    <row r="2" spans="1:10" x14ac:dyDescent="0.4">
      <c r="A2" s="47"/>
      <c r="B2" s="39" t="s">
        <v>18</v>
      </c>
      <c r="C2" s="6" t="s">
        <v>9</v>
      </c>
      <c r="D2" s="11">
        <f>SUM([12]Sheet1!$D$2:$D$48)</f>
        <v>288534462203</v>
      </c>
      <c r="E2" s="11">
        <f>SUM([12]Sheet1!$E$2:$E$48)</f>
        <v>0</v>
      </c>
      <c r="F2" s="11">
        <f>SUM([12]Sheet1!$F$2:$F$48)</f>
        <v>28445842695</v>
      </c>
      <c r="G2" s="11">
        <f>SUM([12]Sheet1!$G$2:$G$48)</f>
        <v>0</v>
      </c>
      <c r="H2" s="11">
        <f>SUM([12]Sheet1!$H$2:$H$48)</f>
        <v>232968950598</v>
      </c>
      <c r="I2" s="11">
        <f>SUM([12]Sheet1!$I$2:$I$48)</f>
        <v>27119668910</v>
      </c>
      <c r="J2" s="50">
        <f>I2+I3</f>
        <v>81354104897</v>
      </c>
    </row>
    <row r="3" spans="1:10" x14ac:dyDescent="0.4">
      <c r="A3" s="47"/>
      <c r="B3" s="40"/>
      <c r="C3" s="6" t="s">
        <v>10</v>
      </c>
      <c r="D3" s="11">
        <f>SUM([13]Sheet1!$D$2:$D$17)</f>
        <v>78480841862</v>
      </c>
      <c r="E3" s="11">
        <f>SUM([13]Sheet1!$E$2:$E$17)</f>
        <v>0</v>
      </c>
      <c r="F3" s="11">
        <f>SUM([13]Sheet1!$F$2:$F$17)</f>
        <v>0</v>
      </c>
      <c r="G3" s="11">
        <f>SUM([13]Sheet1!$G$2:$G$17)</f>
        <v>0</v>
      </c>
      <c r="H3" s="11">
        <f>SUM([13]Sheet1!$H$2:$H$17)</f>
        <v>24246405875</v>
      </c>
      <c r="I3" s="11">
        <f>SUM([13]Sheet1!$I$2:$I$17)</f>
        <v>54234435987</v>
      </c>
      <c r="J3" s="51"/>
    </row>
    <row r="5" spans="1:10" x14ac:dyDescent="0.4">
      <c r="B5" s="7" t="s">
        <v>43</v>
      </c>
      <c r="C5" s="56">
        <v>1403</v>
      </c>
      <c r="D5" s="56"/>
      <c r="E5" s="57">
        <v>1402</v>
      </c>
      <c r="F5" s="57"/>
      <c r="G5" s="3" t="s">
        <v>25</v>
      </c>
    </row>
    <row r="6" spans="1:10" x14ac:dyDescent="0.4">
      <c r="B6" s="7" t="s">
        <v>40</v>
      </c>
      <c r="C6" s="53" t="e">
        <f>SUMIFS([13]Sheet1!$I$2:$I$17,[13]Sheet1!$M$2:$M$17,B6)</f>
        <v>#VALUE!</v>
      </c>
      <c r="D6" s="53"/>
      <c r="E6" s="53" t="e">
        <f>SUMIFS([12]Sheet1!$I$2:$I$48,[12]Sheet1!$M$2:$M$48,B6)</f>
        <v>#VALUE!</v>
      </c>
      <c r="F6" s="53"/>
      <c r="G6" s="3" t="e">
        <f>E6+C6</f>
        <v>#VALUE!</v>
      </c>
    </row>
    <row r="7" spans="1:10" x14ac:dyDescent="0.4">
      <c r="B7" s="7" t="s">
        <v>41</v>
      </c>
      <c r="C7" s="53" t="e">
        <f>SUMIFS([13]Sheet1!$I$2:$I$17,[13]Sheet1!$M$2:$M$17,B7)</f>
        <v>#VALUE!</v>
      </c>
      <c r="D7" s="53"/>
      <c r="E7" s="53" t="e">
        <f>SUMIFS([12]Sheet1!$I$2:$I$48,[12]Sheet1!$M$2:$M$48,B7)</f>
        <v>#VALUE!</v>
      </c>
      <c r="F7" s="53"/>
      <c r="G7" s="3" t="e">
        <f>E7+C7</f>
        <v>#VALUE!</v>
      </c>
    </row>
    <row r="8" spans="1:10" x14ac:dyDescent="0.4">
      <c r="B8" s="7" t="s">
        <v>42</v>
      </c>
      <c r="C8" s="53" t="e">
        <f>SUMIFS([13]Sheet1!$I$2:$I$17,[13]Sheet1!$M$2:$M$17,B8)</f>
        <v>#VALUE!</v>
      </c>
      <c r="D8" s="53"/>
      <c r="E8" s="53" t="e">
        <f>SUMIFS([12]Sheet1!$I$2:$I$48,[12]Sheet1!$M$2:$M$48,B8)</f>
        <v>#VALUE!</v>
      </c>
      <c r="F8" s="53"/>
      <c r="G8" s="3" t="e">
        <f>E8+C8</f>
        <v>#VALUE!</v>
      </c>
    </row>
    <row r="9" spans="1:10" x14ac:dyDescent="0.4">
      <c r="B9" s="7"/>
      <c r="C9" s="54"/>
      <c r="D9" s="55"/>
      <c r="E9" s="54"/>
      <c r="F9" s="55"/>
      <c r="G9" s="3"/>
    </row>
    <row r="10" spans="1:10" x14ac:dyDescent="0.4">
      <c r="B10" s="7"/>
      <c r="C10" s="54" t="e">
        <f>SUM(C6:D8)</f>
        <v>#VALUE!</v>
      </c>
      <c r="D10" s="35"/>
      <c r="E10" s="54" t="e">
        <f>SUM(E6:F8)</f>
        <v>#VALUE!</v>
      </c>
      <c r="F10" s="55"/>
      <c r="G10" s="3"/>
    </row>
    <row r="11" spans="1:10" x14ac:dyDescent="0.4">
      <c r="G11" s="2" t="e">
        <f>SUM(G6:G10)</f>
        <v>#VALUE!</v>
      </c>
    </row>
  </sheetData>
  <mergeCells count="15">
    <mergeCell ref="E8:F8"/>
    <mergeCell ref="A2:A3"/>
    <mergeCell ref="B2:B3"/>
    <mergeCell ref="J2:J3"/>
    <mergeCell ref="C10:D10"/>
    <mergeCell ref="E10:F10"/>
    <mergeCell ref="C5:D5"/>
    <mergeCell ref="C6:D6"/>
    <mergeCell ref="E5:F5"/>
    <mergeCell ref="E6:F6"/>
    <mergeCell ref="C7:D7"/>
    <mergeCell ref="E7:F7"/>
    <mergeCell ref="C8:D8"/>
    <mergeCell ref="C9:D9"/>
    <mergeCell ref="E9:F9"/>
  </mergeCells>
  <pageMargins left="0.7" right="0.7" top="0.75" bottom="0.75" header="0.3" footer="0.3"/>
  <ignoredErrors>
    <ignoredError sqref="C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مطالبات شرکت </vt:lpstr>
      <vt:lpstr>مطالبات به تفکیک  بتاها </vt:lpstr>
      <vt:lpstr>برنامه ریزی وصول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 Khorasani</dc:creator>
  <cp:lastModifiedBy>Sadegh Asadi</cp:lastModifiedBy>
  <cp:lastPrinted>2024-10-09T09:23:20Z</cp:lastPrinted>
  <dcterms:created xsi:type="dcterms:W3CDTF">2024-09-23T09:16:30Z</dcterms:created>
  <dcterms:modified xsi:type="dcterms:W3CDTF">2024-10-14T07:11:11Z</dcterms:modified>
</cp:coreProperties>
</file>